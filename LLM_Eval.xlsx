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GLUE Results" sheetId="1" state="visible" r:id="rId3"/>
    <sheet name="HuLU Results" sheetId="2" state="visible" r:id="rId4"/>
    <sheet name="VerbGrammar Results" sheetId="3" state="visible" r:id="rId5"/>
  </sheets>
  <definedNames>
    <definedName function="false" hidden="true" localSheetId="0" name="_xlnm._FilterDatabase" vbProcedure="false">'GLUE Results'!$A$3:$X$48</definedName>
    <definedName function="false" hidden="true" localSheetId="1" name="_xlnm._FilterDatabase" vbProcedure="false">'HuLU Results'!$A$3:$S$47</definedName>
    <definedName function="false" hidden="true" localSheetId="2" name="_xlnm._FilterDatabase" vbProcedure="false">'VerbGrammar Results'!$A$3:$F$23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2" authorId="0">
      <text>
        <r>
          <rPr>
            <sz val="10"/>
            <rFont val="Arial"/>
            <family val="2"/>
          </rPr>
          <t xml:space="preserve">Matthews Correlation</t>
        </r>
      </text>
    </comment>
    <comment ref="F2" authorId="0">
      <text>
        <r>
          <rPr>
            <sz val="10"/>
            <rFont val="Arial"/>
            <family val="2"/>
          </rPr>
          <t xml:space="preserve">Accuracy</t>
        </r>
      </text>
    </comment>
    <comment ref="H2" authorId="0">
      <text>
        <r>
          <rPr>
            <sz val="10"/>
            <rFont val="Arial"/>
            <family val="2"/>
          </rPr>
          <t xml:space="preserve">Accuracy, F1</t>
        </r>
      </text>
    </comment>
    <comment ref="K2" authorId="0">
      <text>
        <r>
          <rPr>
            <sz val="10"/>
            <rFont val="Arial"/>
            <family val="2"/>
          </rPr>
          <t xml:space="preserve">Accuracy</t>
        </r>
      </text>
    </comment>
    <comment ref="M2" authorId="0">
      <text>
        <r>
          <rPr>
            <sz val="10"/>
            <rFont val="Arial"/>
            <family val="2"/>
          </rPr>
          <t xml:space="preserve">Accuracy, F1</t>
        </r>
      </text>
    </comment>
    <comment ref="P2" authorId="0">
      <text>
        <r>
          <rPr>
            <sz val="10"/>
            <rFont val="Arial"/>
            <family val="2"/>
          </rPr>
          <t xml:space="preserve">Accuracy</t>
        </r>
      </text>
    </comment>
    <comment ref="R2" authorId="0">
      <text>
        <r>
          <rPr>
            <sz val="10"/>
            <rFont val="Arial"/>
            <family val="2"/>
          </rPr>
          <t xml:space="preserve">Accuracy</t>
        </r>
      </text>
    </comment>
    <comment ref="T2" authorId="0">
      <text>
        <r>
          <rPr>
            <sz val="10"/>
            <rFont val="Arial"/>
            <family val="2"/>
          </rPr>
          <t xml:space="preserve">Pearson Correlation,
Spearmann Correlation</t>
        </r>
      </text>
    </comment>
    <comment ref="W2" authorId="0">
      <text>
        <r>
          <rPr>
            <sz val="10"/>
            <rFont val="Arial"/>
            <family val="2"/>
          </rPr>
          <t xml:space="preserve">Accuracy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2" authorId="0">
      <text>
        <r>
          <rPr>
            <sz val="10"/>
            <rFont val="Arial"/>
            <family val="2"/>
          </rPr>
          <t xml:space="preserve">Matthews Correlation</t>
        </r>
      </text>
    </comment>
    <comment ref="F2" authorId="0">
      <text>
        <r>
          <rPr>
            <sz val="10"/>
            <rFont val="Arial"/>
            <family val="2"/>
          </rPr>
          <t xml:space="preserve">Accuracy</t>
        </r>
      </text>
    </comment>
    <comment ref="H2" authorId="0">
      <text>
        <r>
          <rPr>
            <sz val="10"/>
            <rFont val="Arial"/>
            <family val="2"/>
          </rPr>
          <t xml:space="preserve">Accuracy</t>
        </r>
      </text>
    </comment>
    <comment ref="J2" authorId="0">
      <text>
        <r>
          <rPr>
            <sz val="10"/>
            <rFont val="Arial"/>
            <family val="2"/>
          </rPr>
          <t xml:space="preserve">Accuracy</t>
        </r>
      </text>
    </comment>
    <comment ref="L2" authorId="0">
      <text>
        <r>
          <rPr>
            <sz val="10"/>
            <rFont val="Arial"/>
            <family val="2"/>
          </rPr>
          <t xml:space="preserve">Accuracy</t>
        </r>
      </text>
    </comment>
    <comment ref="N2" authorId="0">
      <text>
        <r>
          <rPr>
            <sz val="10"/>
            <rFont val="Arial"/>
            <family val="2"/>
          </rPr>
          <t xml:space="preserve">Accuracy</t>
        </r>
      </text>
    </comment>
    <comment ref="P2" authorId="0">
      <text>
        <r>
          <rPr>
            <sz val="10"/>
            <rFont val="Arial"/>
            <family val="2"/>
          </rPr>
          <t xml:space="preserve">BLEU score,
Length ratio,
Spell error %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2" authorId="0">
      <text>
        <r>
          <rPr>
            <sz val="10"/>
            <rFont val="Arial"/>
            <family val="2"/>
          </rPr>
          <t xml:space="preserve">BLEU score,
Length ratio,
Spell error %</t>
        </r>
      </text>
    </comment>
  </commentList>
</comments>
</file>

<file path=xl/sharedStrings.xml><?xml version="1.0" encoding="utf-8"?>
<sst xmlns="http://schemas.openxmlformats.org/spreadsheetml/2006/main" count="247" uniqueCount="107">
  <si>
    <t xml:space="preserve">Model</t>
  </si>
  <si>
    <t xml:space="preserve">URL</t>
  </si>
  <si>
    <t xml:space="preserve">GLUE</t>
  </si>
  <si>
    <t xml:space="preserve">Average</t>
  </si>
  <si>
    <t xml:space="preserve">CoLA</t>
  </si>
  <si>
    <t xml:space="preserve">MNLI</t>
  </si>
  <si>
    <t xml:space="preserve">MRPC</t>
  </si>
  <si>
    <t xml:space="preserve">QNLI</t>
  </si>
  <si>
    <t xml:space="preserve">QQP</t>
  </si>
  <si>
    <t xml:space="preserve">RTE</t>
  </si>
  <si>
    <t xml:space="preserve">SST-2</t>
  </si>
  <si>
    <t xml:space="preserve">STS-B</t>
  </si>
  <si>
    <t xml:space="preserve">WNLI</t>
  </si>
  <si>
    <t xml:space="preserve">Error</t>
  </si>
  <si>
    <t xml:space="preserve">gemma4:31b</t>
  </si>
  <si>
    <t xml:space="preserve">https://ollama.com/library/gemma4:31b</t>
  </si>
  <si>
    <t xml:space="preserve">DeepSeek-R1-Distill-Qwen-32B-Q4_K_L.gguf</t>
  </si>
  <si>
    <t xml:space="preserve">https://huggingface.co/bartowski/DeepSeek-R1-Distill-Qwen-32B-GGUF</t>
  </si>
  <si>
    <t xml:space="preserve">Qwen2.5-32B-Instruct-Q4_K_L.gguf</t>
  </si>
  <si>
    <t xml:space="preserve">https://huggingface.co/bartowski/Qwen2.5-32B-Instruct-GGUF</t>
  </si>
  <si>
    <t xml:space="preserve">Mistral-Small-24B-Instruct-2501-Q6_K.gguf</t>
  </si>
  <si>
    <t xml:space="preserve">https://huggingface.co/unsloth/Mistral-Small-24B-Instruct-2501-GGUF</t>
  </si>
  <si>
    <t xml:space="preserve">Yi-1.5-34B-Chat-Q4_K_M.gguf</t>
  </si>
  <si>
    <t xml:space="preserve">https://huggingface.co/bartowski/Yi-1.5-34B-Chat-GGUF</t>
  </si>
  <si>
    <t xml:space="preserve">google_gemma-3-27b-it-Q5_K_L.gguf</t>
  </si>
  <si>
    <t xml:space="preserve">https://huggingface.co/bartowski/google_gemma-3-27b-it-GGUF</t>
  </si>
  <si>
    <t xml:space="preserve">gemma-2-27b-it-Q5_K_L.gguf</t>
  </si>
  <si>
    <t xml:space="preserve">https://huggingface.co/bartowski/gemma-2-27b-it-GGUF</t>
  </si>
  <si>
    <t xml:space="preserve">RedHatAI/gemma-4-26B-A4B-it-FP8-dynamic</t>
  </si>
  <si>
    <t xml:space="preserve">https://huggingface.co/RedHatAI/gemma-4-26B-A4B-it-FP8-dynamic</t>
  </si>
  <si>
    <t xml:space="preserve">phi-4-Q6_K.gguf</t>
  </si>
  <si>
    <t xml:space="preserve">https://huggingface.co/matteogeniaccio/phi-4</t>
  </si>
  <si>
    <t xml:space="preserve">Mistral-Small-3.2-24B-Instruct-2506-virtuoso</t>
  </si>
  <si>
    <t xml:space="preserve">https://ollama.com/mirage335/Mistral-Small-3_2-24B-Instruct-2506-virtuoso</t>
  </si>
  <si>
    <t xml:space="preserve">Llama-3.3-70B-Instruct-Q2_K.gguf</t>
  </si>
  <si>
    <t xml:space="preserve">https://huggingface.co/unsloth/Llama-3.3-70B-Instruct-GGUF</t>
  </si>
  <si>
    <t xml:space="preserve">gemma-2-9b-it-Q6_K_L.gguf</t>
  </si>
  <si>
    <t xml:space="preserve">https://huggingface.co/bartowski/gemma-2-9b-it-GGUF</t>
  </si>
  <si>
    <t xml:space="preserve">Qwen3.8-27B-W4A16-AutoRound-fast</t>
  </si>
  <si>
    <t xml:space="preserve">https://huggingface.co/born2bewild/Qwen3.8-27B-W4A16-AutoRound-fast</t>
  </si>
  <si>
    <t xml:space="preserve">mixtral-8x7b-instruct-v0.1.Q5_K_M.gguf</t>
  </si>
  <si>
    <t xml:space="preserve">https://huggingface.co/TheBloke/Mixtral-8x7B-Instruct-v0.1-GGUF</t>
  </si>
  <si>
    <t xml:space="preserve">Meta-Llama-3.1-8B-Instruct-Q6_K_L.gguf</t>
  </si>
  <si>
    <t xml:space="preserve">https://huggingface.co/bartowski/Meta-Llama-3.1-8B-Instruct-GGUF</t>
  </si>
  <si>
    <t xml:space="preserve">Mistral-NeMo-Minitron-8B-Instruct-Q6_K_L.gguf</t>
  </si>
  <si>
    <t xml:space="preserve">https://huggingface.co/bartowski/Mistral-NeMo-Minitron-8B-Instruct-GGUF</t>
  </si>
  <si>
    <t xml:space="preserve">glm-4.7-flash:q4_K_M</t>
  </si>
  <si>
    <t xml:space="preserve">https://ollama.com/library/glm-4.7-flash:q4_K_M</t>
  </si>
  <si>
    <t xml:space="preserve">Meta-Llama-3.1-70B-Instruct-Q2_K.gguf</t>
  </si>
  <si>
    <t xml:space="preserve">https://huggingface.co/bartowski/Meta-Llama-3.1-70B-Instruct-GGUF</t>
  </si>
  <si>
    <t xml:space="preserve">onprem-ai/Apertus-v1.5-8B-FP8</t>
  </si>
  <si>
    <t xml:space="preserve">https://huggingface.co/onprem-ai/Apertus-v1.5-8B-FP8</t>
  </si>
  <si>
    <t xml:space="preserve">Phi-3-medium-4k-instruct-Q6_K_L.gguf</t>
  </si>
  <si>
    <t xml:space="preserve">https://huggingface.co/bartowski/Phi-3-medium-4k-instruct-GGUF</t>
  </si>
  <si>
    <t xml:space="preserve">Qwen3.5-4B-FP8</t>
  </si>
  <si>
    <t xml:space="preserve">https://huggingface.co/lovedheart/Qwen3.5-4B-FP8</t>
  </si>
  <si>
    <t xml:space="preserve">c4ai-command-r-v01.i1-Q4_K_S.gguf</t>
  </si>
  <si>
    <t xml:space="preserve">https://huggingface.co/mradermacher/c4ai-command-r-v01-i1-GGUF</t>
  </si>
  <si>
    <t xml:space="preserve">solar-10.7b-instruct-v1.0.Q6_K.gguf</t>
  </si>
  <si>
    <t xml:space="preserve">https://huggingface.co/TheBloke/SOLAR-10.7B-Instruct-v1.0-GGUF</t>
  </si>
  <si>
    <t xml:space="preserve">Phi-3-mini-4k-instruct-q4.gguf</t>
  </si>
  <si>
    <t xml:space="preserve">https://huggingface.co/microsoft/Phi-3-mini-4k-instruct-gguf</t>
  </si>
  <si>
    <t xml:space="preserve">Ministral-8B-Instruct-2410-Q6_K_L.gguf</t>
  </si>
  <si>
    <t xml:space="preserve">https://huggingface.co/bartowski/Ministral-8B-Instruct-2410-GGUF</t>
  </si>
  <si>
    <t xml:space="preserve">MichelRosselli/apertus:8b-instruct-2509-q4_k_m</t>
  </si>
  <si>
    <t xml:space="preserve">https://ollama.com/MichelRosselli/apertus:8b-instruct-2509-q4_k_m</t>
  </si>
  <si>
    <t xml:space="preserve">llama-2-7b-32k-instruct.Q5_K_M.gguf</t>
  </si>
  <si>
    <t xml:space="preserve">https://huggingface.co/TheBloke/Llama-2-7B-32K-Instruct-GGUF</t>
  </si>
  <si>
    <t xml:space="preserve">gemma-2-2b-it-Q6_K_L.gguf</t>
  </si>
  <si>
    <t xml:space="preserve">https://huggingface.co/bartowski/gemma-2-2b-it-GGUF</t>
  </si>
  <si>
    <t xml:space="preserve">Llama-3.2-3B-Instruct-Q6_K_L.gguf</t>
  </si>
  <si>
    <t xml:space="preserve">https://huggingface.co/bartowski/Llama-3.2-3B-Instruct-GGUF</t>
  </si>
  <si>
    <t xml:space="preserve">salamandra-7b-instruct.Q6_K.gguf</t>
  </si>
  <si>
    <t xml:space="preserve">https://huggingface.co/RichardErkhov/BSC-LT_-_salamandra-7b-instruct-gguf</t>
  </si>
  <si>
    <t xml:space="preserve">OLMoE-1B-7B-0924-Instruct-Q6_K_L.gguf</t>
  </si>
  <si>
    <t xml:space="preserve">https://huggingface.co/bartowski/OLMoE-1B-7B-0924-Instruct-GGUF</t>
  </si>
  <si>
    <t xml:space="preserve">PULI-LlumiX-32K-Instruct-Q4_K_M.gguf</t>
  </si>
  <si>
    <t xml:space="preserve">https://huggingface.co/fragata/PULI-LlumiX-32K-Instruct-Q4_K_M-GGUF</t>
  </si>
  <si>
    <t xml:space="preserve">falcon-mamba-7b-instruct.Q6_K.gguf</t>
  </si>
  <si>
    <t xml:space="preserve">https://huggingface.co/mradermacher/falcon-mamba-7b-instruct-GGUF</t>
  </si>
  <si>
    <t xml:space="preserve">--</t>
  </si>
  <si>
    <t xml:space="preserve">SambaLingo-Hungarian-Chat-Q5_K_M.gguf</t>
  </si>
  <si>
    <t xml:space="preserve">https://huggingface.co/ariel-ml/SambaLingo-Hungarian-Chat-GGUF</t>
  </si>
  <si>
    <t xml:space="preserve">salamandra-2b-instruct_Q6_K.gguf</t>
  </si>
  <si>
    <t xml:space="preserve">HuLU</t>
  </si>
  <si>
    <t xml:space="preserve">BLEU</t>
  </si>
  <si>
    <t xml:space="preserve">HuCoLA</t>
  </si>
  <si>
    <t xml:space="preserve">HuCoPA</t>
  </si>
  <si>
    <t xml:space="preserve">HuCB</t>
  </si>
  <si>
    <t xml:space="preserve">HuRTE</t>
  </si>
  <si>
    <t xml:space="preserve">HuSST</t>
  </si>
  <si>
    <t xml:space="preserve">HuWNLI</t>
  </si>
  <si>
    <t xml:space="preserve">English → Hungarian</t>
  </si>
  <si>
    <t xml:space="preserve">len ratio</t>
  </si>
  <si>
    <t xml:space="preserve">spell %</t>
  </si>
  <si>
    <t xml:space="preserve">MichelRosselli/apertus:70b-instruct-2509-q4_k_m</t>
  </si>
  <si>
    <t xml:space="preserve">https://ollama.com/MichelRosselli/apertus:70b-instruct-2509-q4_k_m</t>
  </si>
  <si>
    <t xml:space="preserve">gpt-oss:20b</t>
  </si>
  <si>
    <t xml:space="preserve">https://ollama.com/library/gpt-oss:20b</t>
  </si>
  <si>
    <t xml:space="preserve">aya-expanse:32b</t>
  </si>
  <si>
    <t xml:space="preserve">https://ollama.com/library/aya-expanse:32b</t>
  </si>
  <si>
    <t xml:space="preserve">https://huggingface.co/robbiemu/salamandra-2b-instruct</t>
  </si>
  <si>
    <t xml:space="preserve">Ministral-3:14b</t>
  </si>
  <si>
    <t xml:space="preserve">https://ollama.com/library/ministral-3:14b</t>
  </si>
  <si>
    <t xml:space="preserve">gpt-35-turbo-instruct</t>
  </si>
  <si>
    <t xml:space="preserve">Azure</t>
  </si>
  <si>
    <t xml:space="preserve">Verb spellings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</si>
</sst>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"/>
    <numFmt numFmtId="166" formatCode="0.00%"/>
    <numFmt numFmtId="167" formatCode="0.0%"/>
    <numFmt numFmtId="168" formatCode="0.0000"/>
  </numFmts>
  <fonts count="1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Courier New"/>
      <family val="3"/>
      <charset val="1"/>
    </font>
    <font>
      <sz val="10"/>
      <color rgb="FF0000FF"/>
      <name val="Arial"/>
      <family val="2"/>
      <charset val="1"/>
    </font>
    <font>
      <b val="true"/>
      <sz val="10"/>
      <name val="Courier New"/>
      <family val="3"/>
      <charset val="1"/>
    </font>
    <font>
      <sz val="10"/>
      <color rgb="FF0000FF"/>
      <name val="Arial"/>
      <family val="2"/>
      <charset val="1"/>
    </font>
    <font>
      <sz val="10"/>
      <name val="Courier New"/>
      <family val="3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81D41A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8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07"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77BC65"/>
          <bgColor rgb="FF000000"/>
        </patternFill>
      </fill>
    </dxf>
    <dxf>
      <fill>
        <patternFill patternType="solid">
          <fgColor rgb="FF7CB966"/>
          <bgColor rgb="FF000000"/>
        </patternFill>
      </fill>
    </dxf>
    <dxf>
      <fill>
        <patternFill patternType="solid">
          <fgColor rgb="FF80B766"/>
          <bgColor rgb="FF000000"/>
        </patternFill>
      </fill>
    </dxf>
    <dxf>
      <fill>
        <patternFill patternType="solid">
          <fgColor rgb="FF81B666"/>
          <bgColor rgb="FF000000"/>
        </patternFill>
      </fill>
    </dxf>
    <dxf>
      <fill>
        <patternFill patternType="solid">
          <fgColor rgb="FF84B466"/>
          <bgColor rgb="FF000000"/>
        </patternFill>
      </fill>
    </dxf>
    <dxf>
      <fill>
        <patternFill patternType="solid">
          <fgColor rgb="FF85B466"/>
          <bgColor rgb="FF000000"/>
        </patternFill>
      </fill>
    </dxf>
    <dxf>
      <fill>
        <patternFill patternType="solid">
          <fgColor rgb="FF86B366"/>
          <bgColor rgb="FF000000"/>
        </patternFill>
      </fill>
    </dxf>
    <dxf>
      <fill>
        <patternFill patternType="solid">
          <fgColor rgb="FF88B266"/>
          <bgColor rgb="FF000000"/>
        </patternFill>
      </fill>
    </dxf>
    <dxf>
      <fill>
        <patternFill patternType="solid">
          <fgColor rgb="FF89B167"/>
          <bgColor rgb="FF000000"/>
        </patternFill>
      </fill>
    </dxf>
    <dxf>
      <fill>
        <patternFill patternType="solid">
          <fgColor rgb="FF8AB167"/>
          <bgColor rgb="FF000000"/>
        </patternFill>
      </fill>
    </dxf>
    <dxf>
      <fill>
        <patternFill patternType="solid">
          <fgColor rgb="FF8CB067"/>
          <bgColor rgb="FF000000"/>
        </patternFill>
      </fill>
    </dxf>
    <dxf>
      <fill>
        <patternFill patternType="solid">
          <fgColor rgb="FF8DAF67"/>
          <bgColor rgb="FF000000"/>
        </patternFill>
      </fill>
    </dxf>
    <dxf>
      <fill>
        <patternFill patternType="solid">
          <fgColor rgb="FF95AA67"/>
          <bgColor rgb="FF000000"/>
        </patternFill>
      </fill>
    </dxf>
    <dxf>
      <fill>
        <patternFill patternType="solid">
          <fgColor rgb="FF96AA67"/>
          <bgColor rgb="FF000000"/>
        </patternFill>
      </fill>
    </dxf>
    <dxf>
      <fill>
        <patternFill patternType="solid">
          <fgColor rgb="FF97A967"/>
          <bgColor rgb="FF000000"/>
        </patternFill>
      </fill>
    </dxf>
    <dxf>
      <fill>
        <patternFill patternType="solid">
          <fgColor rgb="FF98A867"/>
          <bgColor rgb="FF000000"/>
        </patternFill>
      </fill>
    </dxf>
    <dxf>
      <fill>
        <patternFill patternType="solid">
          <fgColor rgb="FF98A967"/>
          <bgColor rgb="FF000000"/>
        </patternFill>
      </fill>
    </dxf>
    <dxf>
      <fill>
        <patternFill patternType="solid">
          <fgColor rgb="FF9FA468"/>
          <bgColor rgb="FF000000"/>
        </patternFill>
      </fill>
    </dxf>
    <dxf>
      <fill>
        <patternFill patternType="solid">
          <fgColor rgb="FF9FA568"/>
          <bgColor rgb="FF000000"/>
        </patternFill>
      </fill>
    </dxf>
    <dxf>
      <fill>
        <patternFill patternType="solid">
          <fgColor rgb="FFA1A368"/>
          <bgColor rgb="FF000000"/>
        </patternFill>
      </fill>
    </dxf>
    <dxf>
      <fill>
        <patternFill patternType="solid">
          <fgColor rgb="FFA5A168"/>
          <bgColor rgb="FF000000"/>
        </patternFill>
      </fill>
    </dxf>
    <dxf>
      <fill>
        <patternFill patternType="solid">
          <fgColor rgb="FFA6A068"/>
          <bgColor rgb="FF000000"/>
        </patternFill>
      </fill>
    </dxf>
    <dxf>
      <fill>
        <patternFill patternType="solid">
          <fgColor rgb="FFAD9C69"/>
          <bgColor rgb="FF000000"/>
        </patternFill>
      </fill>
    </dxf>
    <dxf>
      <fill>
        <patternFill patternType="solid">
          <fgColor rgb="FFB59869"/>
          <bgColor rgb="FF000000"/>
        </patternFill>
      </fill>
    </dxf>
    <dxf>
      <fill>
        <patternFill patternType="solid">
          <fgColor rgb="FFBE936A"/>
          <bgColor rgb="FF000000"/>
        </patternFill>
      </fill>
    </dxf>
    <dxf>
      <fill>
        <patternFill patternType="solid">
          <fgColor rgb="FFC98C6A"/>
          <bgColor rgb="FF000000"/>
        </patternFill>
      </fill>
    </dxf>
    <dxf>
      <fill>
        <patternFill patternType="solid">
          <fgColor rgb="FFD0886B"/>
          <bgColor rgb="FF000000"/>
        </patternFill>
      </fill>
    </dxf>
    <dxf>
      <fill>
        <patternFill patternType="solid">
          <fgColor rgb="FFFA706D"/>
          <bgColor rgb="FF000000"/>
        </patternFill>
      </fill>
    </dxf>
    <dxf>
      <fill>
        <patternFill patternType="solid">
          <fgColor rgb="FFFF6D6D"/>
          <bgColor rgb="FF000000"/>
        </patternFill>
      </fill>
    </dxf>
    <dxf>
      <fill>
        <patternFill patternType="solid">
          <fgColor rgb="FFFFCCCC"/>
          <bgColor rgb="FF000000"/>
        </patternFill>
      </fill>
    </dxf>
    <dxf>
      <fill>
        <patternFill patternType="solid">
          <fgColor rgb="FFCC0000"/>
          <bgColor rgb="FF000000"/>
        </patternFill>
      </fill>
    </dxf>
    <dxf>
      <fill>
        <patternFill patternType="solid">
          <fgColor rgb="FF7EB766"/>
          <bgColor rgb="FF000000"/>
        </patternFill>
      </fill>
    </dxf>
    <dxf>
      <fill>
        <patternFill patternType="solid">
          <fgColor rgb="FF8EAE67"/>
          <bgColor rgb="FF000000"/>
        </patternFill>
      </fill>
    </dxf>
    <dxf>
      <fill>
        <patternFill patternType="solid">
          <fgColor rgb="FFA3A268"/>
          <bgColor rgb="FF000000"/>
        </patternFill>
      </fill>
    </dxf>
    <dxf>
      <fill>
        <patternFill patternType="solid">
          <fgColor rgb="FFA99F68"/>
          <bgColor rgb="FF000000"/>
        </patternFill>
      </fill>
    </dxf>
    <dxf>
      <fill>
        <patternFill patternType="solid">
          <fgColor rgb="FFAA9E68"/>
          <bgColor rgb="FF000000"/>
        </patternFill>
      </fill>
    </dxf>
    <dxf>
      <fill>
        <patternFill patternType="solid">
          <fgColor rgb="FFAB9D69"/>
          <bgColor rgb="FF000000"/>
        </patternFill>
      </fill>
    </dxf>
    <dxf>
      <fill>
        <patternFill patternType="solid">
          <fgColor rgb="FFAD9D69"/>
          <bgColor rgb="FF000000"/>
        </patternFill>
      </fill>
    </dxf>
    <dxf>
      <fill>
        <patternFill patternType="solid">
          <fgColor rgb="FFB29969"/>
          <bgColor rgb="FF000000"/>
        </patternFill>
      </fill>
    </dxf>
    <dxf>
      <fill>
        <patternFill patternType="solid">
          <fgColor rgb="FFB29A69"/>
          <bgColor rgb="FF000000"/>
        </patternFill>
      </fill>
    </dxf>
    <dxf>
      <fill>
        <patternFill patternType="solid">
          <fgColor rgb="FFB49869"/>
          <bgColor rgb="FF000000"/>
        </patternFill>
      </fill>
    </dxf>
    <dxf>
      <fill>
        <patternFill patternType="solid">
          <fgColor rgb="FFBB9469"/>
          <bgColor rgb="FF000000"/>
        </patternFill>
      </fill>
    </dxf>
    <dxf>
      <fill>
        <patternFill patternType="solid">
          <fgColor rgb="FFBC946A"/>
          <bgColor rgb="FF000000"/>
        </patternFill>
      </fill>
    </dxf>
    <dxf>
      <fill>
        <patternFill patternType="solid">
          <fgColor rgb="FFBD936A"/>
          <bgColor rgb="FF000000"/>
        </patternFill>
      </fill>
    </dxf>
    <dxf>
      <fill>
        <patternFill patternType="solid">
          <fgColor rgb="FFBE926A"/>
          <bgColor rgb="FF000000"/>
        </patternFill>
      </fill>
    </dxf>
    <dxf>
      <fill>
        <patternFill patternType="solid">
          <fgColor rgb="FFBF926A"/>
          <bgColor rgb="FF000000"/>
        </patternFill>
      </fill>
    </dxf>
    <dxf>
      <fill>
        <patternFill patternType="solid">
          <fgColor rgb="FFC38F6A"/>
          <bgColor rgb="FF000000"/>
        </patternFill>
      </fill>
    </dxf>
    <dxf>
      <fill>
        <patternFill patternType="solid">
          <fgColor rgb="FFC48F6A"/>
          <bgColor rgb="FF000000"/>
        </patternFill>
      </fill>
    </dxf>
    <dxf>
      <fill>
        <patternFill patternType="solid">
          <fgColor rgb="FFCA8B6A"/>
          <bgColor rgb="FF000000"/>
        </patternFill>
      </fill>
    </dxf>
    <dxf>
      <fill>
        <patternFill patternType="solid">
          <fgColor rgb="FFCC8A6A"/>
          <bgColor rgb="FF000000"/>
        </patternFill>
      </fill>
    </dxf>
    <dxf>
      <fill>
        <patternFill patternType="solid">
          <fgColor rgb="FFCE896B"/>
          <bgColor rgb="FF000000"/>
        </patternFill>
      </fill>
    </dxf>
    <dxf>
      <fill>
        <patternFill patternType="solid">
          <fgColor rgb="FFDD806B"/>
          <bgColor rgb="FF000000"/>
        </patternFill>
      </fill>
    </dxf>
    <dxf>
      <fill>
        <patternFill patternType="solid">
          <fgColor rgb="FFDD816B"/>
          <bgColor rgb="FF000000"/>
        </patternFill>
      </fill>
    </dxf>
    <dxf>
      <fill>
        <patternFill patternType="solid">
          <fgColor rgb="FFE77A6C"/>
          <bgColor rgb="FF000000"/>
        </patternFill>
      </fill>
    </dxf>
    <dxf>
      <fill>
        <patternFill patternType="solid">
          <fgColor rgb="FFEA796C"/>
          <bgColor rgb="FF000000"/>
        </patternFill>
      </fill>
    </dxf>
    <dxf>
      <fill>
        <patternFill patternType="solid">
          <fgColor rgb="FFF7726D"/>
          <bgColor rgb="FF000000"/>
        </patternFill>
      </fill>
    </dxf>
    <dxf>
      <fill>
        <patternFill patternType="solid">
          <fgColor rgb="FFFB6F6D"/>
          <bgColor rgb="FF000000"/>
        </patternFill>
      </fill>
    </dxf>
    <dxf>
      <fill>
        <patternFill patternType="solid">
          <fgColor rgb="FF7BBA66"/>
          <bgColor rgb="FF000000"/>
        </patternFill>
      </fill>
    </dxf>
    <dxf>
      <fill>
        <patternFill patternType="solid">
          <fgColor rgb="FF83B566"/>
          <bgColor rgb="FF000000"/>
        </patternFill>
      </fill>
    </dxf>
    <dxf>
      <fill>
        <patternFill patternType="solid">
          <fgColor rgb="FF87B366"/>
          <bgColor rgb="FF000000"/>
        </patternFill>
      </fill>
    </dxf>
    <dxf>
      <fill>
        <patternFill patternType="solid">
          <fgColor rgb="FF8BB067"/>
          <bgColor rgb="FF000000"/>
        </patternFill>
      </fill>
    </dxf>
    <dxf>
      <fill>
        <patternFill patternType="solid">
          <fgColor rgb="FF91AD67"/>
          <bgColor rgb="FF000000"/>
        </patternFill>
      </fill>
    </dxf>
    <dxf>
      <fill>
        <patternFill patternType="solid">
          <fgColor rgb="FF92AC67"/>
          <bgColor rgb="FF000000"/>
        </patternFill>
      </fill>
    </dxf>
    <dxf>
      <fill>
        <patternFill patternType="solid">
          <fgColor rgb="FF93AC67"/>
          <bgColor rgb="FF000000"/>
        </patternFill>
      </fill>
    </dxf>
    <dxf>
      <fill>
        <patternFill patternType="solid">
          <fgColor rgb="FF94AB67"/>
          <bgColor rgb="FF000000"/>
        </patternFill>
      </fill>
    </dxf>
    <dxf>
      <fill>
        <patternFill patternType="solid">
          <fgColor rgb="FF95AB67"/>
          <bgColor rgb="FF000000"/>
        </patternFill>
      </fill>
    </dxf>
    <dxf>
      <fill>
        <patternFill patternType="solid">
          <fgColor rgb="FF9AA768"/>
          <bgColor rgb="FF000000"/>
        </patternFill>
      </fill>
    </dxf>
    <dxf>
      <fill>
        <patternFill patternType="solid">
          <fgColor rgb="FF9CA668"/>
          <bgColor rgb="FF000000"/>
        </patternFill>
      </fill>
    </dxf>
    <dxf>
      <fill>
        <patternFill patternType="solid">
          <fgColor rgb="FFFC6E6D"/>
          <bgColor rgb="FF000000"/>
        </patternFill>
      </fill>
    </dxf>
    <dxf>
      <fill>
        <patternFill patternType="solid">
          <fgColor rgb="FF79BA66"/>
          <bgColor rgb="FF000000"/>
        </patternFill>
      </fill>
    </dxf>
    <dxf>
      <fill>
        <patternFill patternType="solid">
          <fgColor rgb="FF79BB66"/>
          <bgColor rgb="FF000000"/>
        </patternFill>
      </fill>
    </dxf>
    <dxf>
      <fill>
        <patternFill patternType="solid">
          <fgColor rgb="FF7ABA66"/>
          <bgColor rgb="FF000000"/>
        </patternFill>
      </fill>
    </dxf>
    <dxf>
      <fill>
        <patternFill patternType="solid">
          <fgColor rgb="FF7BB966"/>
          <bgColor rgb="FF000000"/>
        </patternFill>
      </fill>
    </dxf>
    <dxf>
      <fill>
        <patternFill patternType="solid">
          <fgColor rgb="FF7DB866"/>
          <bgColor rgb="FF000000"/>
        </patternFill>
      </fill>
    </dxf>
    <dxf>
      <fill>
        <patternFill patternType="solid">
          <fgColor rgb="FF7EB866"/>
          <bgColor rgb="FF000000"/>
        </patternFill>
      </fill>
    </dxf>
    <dxf>
      <fill>
        <patternFill patternType="solid">
          <fgColor rgb="FF7FB766"/>
          <bgColor rgb="FF000000"/>
        </patternFill>
      </fill>
    </dxf>
    <dxf>
      <fill>
        <patternFill patternType="solid">
          <fgColor rgb="FF82B566"/>
          <bgColor rgb="FF000000"/>
        </patternFill>
      </fill>
    </dxf>
    <dxf>
      <fill>
        <patternFill patternType="solid">
          <fgColor rgb="FF82B666"/>
          <bgColor rgb="FF000000"/>
        </patternFill>
      </fill>
    </dxf>
    <dxf>
      <fill>
        <patternFill patternType="solid">
          <fgColor rgb="FFF8716D"/>
          <bgColor rgb="FF000000"/>
        </patternFill>
      </fill>
    </dxf>
    <dxf>
      <fill>
        <patternFill patternType="solid">
          <fgColor rgb="FF78BB66"/>
          <bgColor rgb="FF000000"/>
        </patternFill>
      </fill>
    </dxf>
    <dxf>
      <fill>
        <patternFill patternType="solid">
          <fgColor rgb="FF87B266"/>
          <bgColor rgb="FF000000"/>
        </patternFill>
      </fill>
    </dxf>
    <dxf>
      <fill>
        <patternFill patternType="solid">
          <fgColor rgb="FFA2A368"/>
          <bgColor rgb="FF000000"/>
        </patternFill>
      </fill>
    </dxf>
    <dxf>
      <fill>
        <patternFill patternType="solid">
          <fgColor rgb="FFB99569"/>
          <bgColor rgb="FF000000"/>
        </patternFill>
      </fill>
    </dxf>
    <dxf>
      <fill>
        <patternFill patternType="solid">
          <fgColor rgb="FFC68E6A"/>
          <bgColor rgb="FF000000"/>
        </patternFill>
      </fill>
    </dxf>
    <dxf>
      <fill>
        <patternFill patternType="solid">
          <fgColor rgb="FFC88D6A"/>
          <bgColor rgb="FF000000"/>
        </patternFill>
      </fill>
    </dxf>
    <dxf>
      <fill>
        <patternFill patternType="solid">
          <fgColor rgb="FFCD8A6B"/>
          <bgColor rgb="FF000000"/>
        </patternFill>
      </fill>
    </dxf>
    <dxf>
      <fill>
        <patternFill patternType="solid">
          <fgColor rgb="FFD2876B"/>
          <bgColor rgb="FF000000"/>
        </patternFill>
      </fill>
    </dxf>
    <dxf>
      <fill>
        <patternFill patternType="solid">
          <fgColor rgb="FFD5856B"/>
          <bgColor rgb="FF000000"/>
        </patternFill>
      </fill>
    </dxf>
    <dxf>
      <fill>
        <patternFill patternType="solid">
          <fgColor rgb="FFDB826B"/>
          <bgColor rgb="FF000000"/>
        </patternFill>
      </fill>
    </dxf>
    <dxf>
      <fill>
        <patternFill patternType="solid">
          <fgColor rgb="FFDF806C"/>
          <bgColor rgb="FF000000"/>
        </patternFill>
      </fill>
    </dxf>
    <dxf>
      <fill>
        <patternFill patternType="solid">
          <fgColor rgb="FFE07F6C"/>
          <bgColor rgb="FF000000"/>
        </patternFill>
      </fill>
    </dxf>
    <dxf>
      <fill>
        <patternFill patternType="solid">
          <fgColor rgb="FFE17E6C"/>
          <bgColor rgb="FF000000"/>
        </patternFill>
      </fill>
    </dxf>
    <dxf>
      <fill>
        <patternFill patternType="solid">
          <fgColor rgb="FF80B666"/>
          <bgColor rgb="FF000000"/>
        </patternFill>
      </fill>
    </dxf>
    <dxf>
      <fill>
        <patternFill patternType="solid">
          <fgColor rgb="FF9DA668"/>
          <bgColor rgb="FF000000"/>
        </patternFill>
      </fill>
    </dxf>
    <dxf>
      <fill>
        <patternFill patternType="solid">
          <fgColor rgb="FFA4A268"/>
          <bgColor rgb="FF000000"/>
        </patternFill>
      </fill>
    </dxf>
    <dxf>
      <fill>
        <patternFill patternType="solid">
          <fgColor rgb="FFA7A068"/>
          <bgColor rgb="FF000000"/>
        </patternFill>
      </fill>
    </dxf>
    <dxf>
      <fill>
        <patternFill patternType="solid">
          <fgColor rgb="FFB19A69"/>
          <bgColor rgb="FF000000"/>
        </patternFill>
      </fill>
    </dxf>
    <dxf>
      <fill>
        <patternFill patternType="solid">
          <fgColor rgb="FFB89669"/>
          <bgColor rgb="FF000000"/>
        </patternFill>
      </fill>
    </dxf>
    <dxf>
      <fill>
        <patternFill patternType="solid">
          <fgColor rgb="FFBA9569"/>
          <bgColor rgb="FF000000"/>
        </patternFill>
      </fill>
    </dxf>
    <dxf>
      <fill>
        <patternFill patternType="solid">
          <fgColor rgb="FFEF766D"/>
          <bgColor rgb="FF000000"/>
        </patternFill>
      </fill>
    </dxf>
    <dxf>
      <fill>
        <patternFill patternType="solid">
          <fgColor rgb="FF8EAF67"/>
          <bgColor rgb="FF000000"/>
        </patternFill>
      </fill>
    </dxf>
    <dxf>
      <fill>
        <patternFill patternType="solid">
          <fgColor rgb="FFA8A068"/>
          <bgColor rgb="FF000000"/>
        </patternFill>
      </fill>
    </dxf>
    <dxf>
      <fill>
        <patternFill patternType="solid">
          <fgColor rgb="FF85B366"/>
          <bgColor rgb="FF000000"/>
        </patternFill>
      </fill>
    </dxf>
    <dxf>
      <fill>
        <patternFill patternType="solid">
          <fgColor rgb="FF99A867"/>
          <bgColor rgb="FF000000"/>
        </patternFill>
      </fill>
    </dxf>
    <dxf>
      <fill>
        <patternFill patternType="solid">
          <fgColor rgb="FFA4A168"/>
          <bgColor rgb="FF000000"/>
        </patternFill>
      </fill>
    </dxf>
    <dxf>
      <fill>
        <patternFill patternType="solid">
          <fgColor rgb="FFB69769"/>
          <bgColor rgb="FF000000"/>
        </patternFill>
      </fill>
    </dxf>
    <dxf>
      <fill>
        <patternFill patternType="solid">
          <fgColor rgb="FFC1916A"/>
          <bgColor rgb="FF000000"/>
        </patternFill>
      </fill>
    </dxf>
    <dxf>
      <fill>
        <patternFill patternType="solid">
          <fgColor rgb="FFC78E6A"/>
          <bgColor rgb="FF000000"/>
        </patternFill>
      </fill>
    </dxf>
    <dxf>
      <fill>
        <patternFill patternType="solid">
          <fgColor rgb="FFCF896B"/>
          <bgColor rgb="FF000000"/>
        </patternFill>
      </fill>
    </dxf>
    <dxf>
      <fill>
        <patternFill patternType="solid">
          <fgColor rgb="FFDA826B"/>
          <bgColor rgb="FF000000"/>
        </patternFill>
      </fill>
    </dxf>
    <dxf>
      <fill>
        <patternFill patternType="solid">
          <fgColor rgb="FFE27D6C"/>
          <bgColor rgb="FF000000"/>
        </patternFill>
      </fill>
    </dxf>
    <dxf>
      <fill>
        <patternFill patternType="solid">
          <fgColor rgb="FFE47C6C"/>
          <bgColor rgb="FF000000"/>
        </patternFill>
      </fill>
    </dxf>
    <dxf>
      <fill>
        <patternFill patternType="solid">
          <fgColor rgb="FFEC786C"/>
          <bgColor rgb="FF000000"/>
        </patternFill>
      </fill>
    </dxf>
    <dxf>
      <fill>
        <patternFill patternType="solid">
          <fgColor rgb="FFED776C"/>
          <bgColor rgb="FF000000"/>
        </patternFill>
      </fill>
    </dxf>
    <dxf>
      <fill>
        <patternFill patternType="solid">
          <fgColor rgb="FFF4736D"/>
          <bgColor rgb="FF000000"/>
        </patternFill>
      </fill>
    </dxf>
    <dxf>
      <fill>
        <patternFill patternType="solid">
          <fgColor rgb="FF8CAF67"/>
          <bgColor rgb="FF000000"/>
        </patternFill>
      </fill>
    </dxf>
    <dxf>
      <fill>
        <patternFill patternType="solid">
          <fgColor rgb="FF91AC67"/>
          <bgColor rgb="FF000000"/>
        </patternFill>
      </fill>
    </dxf>
    <dxf>
      <fill>
        <patternFill patternType="solid">
          <fgColor rgb="FF9BA768"/>
          <bgColor rgb="FF000000"/>
        </patternFill>
      </fill>
    </dxf>
    <dxf>
      <fill>
        <patternFill patternType="solid">
          <fgColor rgb="FFA89F68"/>
          <bgColor rgb="FF000000"/>
        </patternFill>
      </fill>
    </dxf>
    <dxf>
      <fill>
        <patternFill patternType="solid">
          <fgColor rgb="FF89B267"/>
          <bgColor rgb="FF000000"/>
        </patternFill>
      </fill>
    </dxf>
    <dxf>
      <fill>
        <patternFill patternType="solid">
          <fgColor rgb="FF9EA568"/>
          <bgColor rgb="FF000000"/>
        </patternFill>
      </fill>
    </dxf>
    <dxf>
      <fill>
        <patternFill patternType="solid">
          <fgColor rgb="FFA0A468"/>
          <bgColor rgb="FF000000"/>
        </patternFill>
      </fill>
    </dxf>
    <dxf>
      <fill>
        <patternFill patternType="solid">
          <fgColor rgb="FFF1756D"/>
          <bgColor rgb="FF000000"/>
        </patternFill>
      </fill>
    </dxf>
    <dxf>
      <fill>
        <patternFill patternType="solid">
          <fgColor rgb="FF93AB67"/>
          <bgColor rgb="FF000000"/>
        </patternFill>
      </fill>
    </dxf>
    <dxf>
      <fill>
        <patternFill patternType="solid">
          <fgColor rgb="FFB09B69"/>
          <bgColor rgb="FF000000"/>
        </patternFill>
      </fill>
    </dxf>
    <dxf>
      <fill>
        <patternFill patternType="solid">
          <fgColor rgb="FFB39969"/>
          <bgColor rgb="FF000000"/>
        </patternFill>
      </fill>
    </dxf>
    <dxf>
      <fill>
        <patternFill patternType="solid">
          <fgColor rgb="FFD8846B"/>
          <bgColor rgb="FF000000"/>
        </patternFill>
      </fill>
    </dxf>
    <dxf>
      <fill>
        <patternFill patternType="solid">
          <fgColor rgb="FFDC816B"/>
          <bgColor rgb="FF000000"/>
        </patternFill>
      </fill>
    </dxf>
    <dxf>
      <fill>
        <patternFill patternType="solid">
          <fgColor rgb="FFE47D6C"/>
          <bgColor rgb="FF000000"/>
        </patternFill>
      </fill>
    </dxf>
    <dxf>
      <fill>
        <patternFill patternType="solid">
          <fgColor rgb="FFF0766D"/>
          <bgColor rgb="FF000000"/>
        </patternFill>
      </fill>
    </dxf>
    <dxf>
      <fill>
        <patternFill patternType="solid">
          <fgColor rgb="FFF7716D"/>
          <bgColor rgb="FF000000"/>
        </patternFill>
      </fill>
    </dxf>
    <dxf>
      <font>
        <name val="Arial"/>
        <charset val="1"/>
        <family val="2"/>
        <color rgb="FFCC0000"/>
      </font>
      <fill>
        <patternFill>
          <bgColor rgb="FFFFCCCC"/>
        </patternFill>
      </fill>
    </dxf>
    <dxf>
      <fill>
        <patternFill patternType="solid">
          <fgColor rgb="FF81D41A"/>
          <bgColor rgb="FF000000"/>
        </patternFill>
      </fill>
    </dxf>
    <dxf>
      <fill>
        <patternFill patternType="solid">
          <fgColor rgb="FF8FAE67"/>
          <bgColor rgb="FF000000"/>
        </patternFill>
      </fill>
    </dxf>
    <dxf>
      <fill>
        <patternFill patternType="solid">
          <fgColor rgb="FFAF9B69"/>
          <bgColor rgb="FF000000"/>
        </patternFill>
      </fill>
    </dxf>
    <dxf>
      <fill>
        <patternFill patternType="solid">
          <fgColor rgb="FFB09A69"/>
          <bgColor rgb="FF000000"/>
        </patternFill>
      </fill>
    </dxf>
    <dxf>
      <fill>
        <patternFill patternType="solid">
          <fgColor rgb="FFB79769"/>
          <bgColor rgb="FF000000"/>
        </patternFill>
      </fill>
    </dxf>
    <dxf>
      <fill>
        <patternFill patternType="solid">
          <fgColor rgb="FFD7846B"/>
          <bgColor rgb="FF000000"/>
        </patternFill>
      </fill>
    </dxf>
    <dxf>
      <fill>
        <patternFill patternType="solid">
          <fgColor rgb="FFE37D6C"/>
          <bgColor rgb="FF000000"/>
        </patternFill>
      </fill>
    </dxf>
    <dxf>
      <fill>
        <patternFill patternType="solid">
          <fgColor rgb="FFE67B6C"/>
          <bgColor rgb="FF000000"/>
        </patternFill>
      </fill>
    </dxf>
    <dxf>
      <fill>
        <patternFill patternType="solid">
          <fgColor rgb="FFE77B6C"/>
          <bgColor rgb="FF000000"/>
        </patternFill>
      </fill>
    </dxf>
    <dxf>
      <fill>
        <patternFill patternType="solid">
          <fgColor rgb="FFF3746D"/>
          <bgColor rgb="FF000000"/>
        </patternFill>
      </fill>
    </dxf>
    <dxf>
      <fill>
        <patternFill patternType="solid">
          <fgColor rgb="FF7DB966"/>
          <bgColor rgb="FF000000"/>
        </patternFill>
      </fill>
    </dxf>
    <dxf>
      <fill>
        <patternFill patternType="solid">
          <fgColor rgb="FFA1A468"/>
          <bgColor rgb="FF000000"/>
        </patternFill>
      </fill>
    </dxf>
    <dxf>
      <fill>
        <patternFill patternType="solid">
          <fgColor rgb="FFEB786C"/>
          <bgColor rgb="FF000000"/>
        </patternFill>
      </fill>
    </dxf>
    <dxf>
      <fill>
        <patternFill patternType="solid">
          <fgColor rgb="FFF0756D"/>
          <bgColor rgb="FF000000"/>
        </patternFill>
      </fill>
    </dxf>
    <dxf>
      <fill>
        <patternFill patternType="solid">
          <fgColor rgb="FFF5726D"/>
          <bgColor rgb="FF000000"/>
        </patternFill>
      </fill>
    </dxf>
    <dxf>
      <fill>
        <patternFill patternType="solid">
          <fgColor rgb="FFFA6F6D"/>
          <bgColor rgb="FF000000"/>
        </patternFill>
      </fill>
    </dxf>
    <dxf>
      <fill>
        <patternFill patternType="solid">
          <fgColor rgb="FFFD6E6D"/>
          <bgColor rgb="FF000000"/>
        </patternFill>
      </fill>
    </dxf>
    <dxf>
      <fill>
        <patternFill patternType="solid">
          <fgColor rgb="FFFE6D6D"/>
          <bgColor rgb="FF000000"/>
        </patternFill>
      </fill>
    </dxf>
    <dxf>
      <fill>
        <patternFill patternType="solid">
          <fgColor rgb="FFAE9C69"/>
          <bgColor rgb="FF000000"/>
        </patternFill>
      </fill>
    </dxf>
    <dxf>
      <fill>
        <patternFill patternType="solid">
          <fgColor rgb="FFD3876B"/>
          <bgColor rgb="FF000000"/>
        </patternFill>
      </fill>
    </dxf>
    <dxf>
      <fill>
        <patternFill patternType="solid">
          <fgColor rgb="FFD6856B"/>
          <bgColor rgb="FF000000"/>
        </patternFill>
      </fill>
    </dxf>
    <dxf>
      <fill>
        <patternFill patternType="solid">
          <fgColor rgb="FFD8836B"/>
          <bgColor rgb="FF000000"/>
        </patternFill>
      </fill>
    </dxf>
    <dxf>
      <fill>
        <patternFill patternType="solid">
          <fgColor rgb="FFDF7F6C"/>
          <bgColor rgb="FF000000"/>
        </patternFill>
      </fill>
    </dxf>
    <dxf>
      <fill>
        <patternFill patternType="solid">
          <fgColor rgb="FFE97A6C"/>
          <bgColor rgb="FF000000"/>
        </patternFill>
      </fill>
    </dxf>
    <dxf>
      <fill>
        <patternFill patternType="solid">
          <fgColor rgb="FFEE776C"/>
          <bgColor rgb="FF000000"/>
        </patternFill>
      </fill>
    </dxf>
    <dxf>
      <fill>
        <patternFill patternType="solid">
          <fgColor rgb="FFF5736D"/>
          <bgColor rgb="FF000000"/>
        </patternFill>
      </fill>
    </dxf>
    <dxf>
      <fill>
        <patternFill patternType="solid">
          <fgColor rgb="FF8AB067"/>
          <bgColor rgb="FF000000"/>
        </patternFill>
      </fill>
    </dxf>
    <dxf>
      <fill>
        <patternFill patternType="solid">
          <fgColor rgb="FF90AD67"/>
          <bgColor rgb="FF000000"/>
        </patternFill>
      </fill>
    </dxf>
    <dxf>
      <fill>
        <patternFill patternType="solid">
          <fgColor rgb="FFC3906A"/>
          <bgColor rgb="FF000000"/>
        </patternFill>
      </fill>
    </dxf>
    <dxf>
      <fill>
        <patternFill patternType="solid">
          <fgColor rgb="FFCA8C6A"/>
          <bgColor rgb="FF000000"/>
        </patternFill>
      </fill>
    </dxf>
    <dxf>
      <fill>
        <patternFill patternType="solid">
          <fgColor rgb="FFC0926A"/>
          <bgColor rgb="FF000000"/>
        </patternFill>
      </fill>
    </dxf>
    <dxf>
      <fill>
        <patternFill patternType="solid">
          <fgColor rgb="FFC2906A"/>
          <bgColor rgb="FF000000"/>
        </patternFill>
      </fill>
    </dxf>
    <dxf>
      <fill>
        <patternFill patternType="solid">
          <fgColor rgb="FFEE766C"/>
          <bgColor rgb="FF000000"/>
        </patternFill>
      </fill>
    </dxf>
    <dxf>
      <fill>
        <patternFill patternType="solid">
          <fgColor rgb="FF78BB65"/>
          <bgColor rgb="FF000000"/>
        </patternFill>
      </fill>
    </dxf>
    <dxf>
      <fill>
        <patternFill patternType="solid">
          <fgColor rgb="FF79BB65"/>
          <bgColor rgb="FF000000"/>
        </patternFill>
      </fill>
    </dxf>
    <dxf>
      <fill>
        <patternFill patternType="solid">
          <fgColor rgb="FF7ABA65"/>
          <bgColor rgb="FF000000"/>
        </patternFill>
      </fill>
    </dxf>
    <dxf>
      <fill>
        <patternFill patternType="solid">
          <fgColor rgb="FF7BBA65"/>
          <bgColor rgb="FF000000"/>
        </patternFill>
      </fill>
    </dxf>
    <dxf>
      <fill>
        <patternFill patternType="solid">
          <fgColor rgb="FF7CB965"/>
          <bgColor rgb="FF000000"/>
        </patternFill>
      </fill>
    </dxf>
    <dxf>
      <fill>
        <patternFill patternType="solid">
          <fgColor rgb="FF7DB965"/>
          <bgColor rgb="FF000000"/>
        </patternFill>
      </fill>
    </dxf>
    <dxf>
      <fill>
        <patternFill patternType="solid">
          <fgColor rgb="FF7EB865"/>
          <bgColor rgb="FF000000"/>
        </patternFill>
      </fill>
    </dxf>
    <dxf>
      <fill>
        <patternFill patternType="solid">
          <fgColor rgb="FF7FB765"/>
          <bgColor rgb="FF000000"/>
        </patternFill>
      </fill>
    </dxf>
    <dxf>
      <fill>
        <patternFill patternType="solid">
          <fgColor rgb="FF7FB865"/>
          <bgColor rgb="FF000000"/>
        </patternFill>
      </fill>
    </dxf>
    <dxf>
      <fill>
        <patternFill patternType="solid">
          <fgColor rgb="FF81B665"/>
          <bgColor rgb="FF000000"/>
        </patternFill>
      </fill>
    </dxf>
    <dxf>
      <fill>
        <patternFill patternType="solid">
          <fgColor rgb="FF82B665"/>
          <bgColor rgb="FF000000"/>
        </patternFill>
      </fill>
    </dxf>
    <dxf>
      <fill>
        <patternFill patternType="solid">
          <fgColor rgb="FF83B565"/>
          <bgColor rgb="FF000000"/>
        </patternFill>
      </fill>
    </dxf>
    <dxf>
      <fill>
        <patternFill patternType="solid">
          <fgColor rgb="FF84B565"/>
          <bgColor rgb="FF000000"/>
        </patternFill>
      </fill>
    </dxf>
    <dxf>
      <fill>
        <patternFill patternType="solid">
          <fgColor rgb="FF86B365"/>
          <bgColor rgb="FF000000"/>
        </patternFill>
      </fill>
    </dxf>
    <dxf>
      <fill>
        <patternFill patternType="solid">
          <fgColor rgb="FF87B365"/>
          <bgColor rgb="FF000000"/>
        </patternFill>
      </fill>
    </dxf>
    <dxf>
      <fill>
        <patternFill patternType="solid">
          <fgColor rgb="FF8AB166"/>
          <bgColor rgb="FF000000"/>
        </patternFill>
      </fill>
    </dxf>
    <dxf>
      <fill>
        <patternFill patternType="solid">
          <fgColor rgb="FF8DAF66"/>
          <bgColor rgb="FF000000"/>
        </patternFill>
      </fill>
    </dxf>
    <dxf>
      <fill>
        <patternFill patternType="solid">
          <fgColor rgb="FF8FAE66"/>
          <bgColor rgb="FF000000"/>
        </patternFill>
      </fill>
    </dxf>
    <dxf>
      <fill>
        <patternFill patternType="solid">
          <fgColor rgb="FF91AD66"/>
          <bgColor rgb="FF000000"/>
        </patternFill>
      </fill>
    </dxf>
    <dxf>
      <fill>
        <patternFill patternType="solid">
          <fgColor rgb="FF94AB66"/>
          <bgColor rgb="FF000000"/>
        </patternFill>
      </fill>
    </dxf>
    <dxf>
      <fill>
        <patternFill patternType="solid">
          <fgColor rgb="FFFC6F6C"/>
          <bgColor rgb="FF000000"/>
        </patternFill>
      </fill>
    </dxf>
    <dxf>
      <font>
        <name val="Arial"/>
        <charset val="1"/>
        <family val="2"/>
        <color rgb="FFCC0000"/>
      </font>
      <fill>
        <patternFill>
          <bgColor rgb="FFFFCCCC"/>
        </patternFill>
      </fill>
    </dxf>
    <dxf>
      <fill>
        <patternFill patternType="solid">
          <fgColor rgb="FFDE806C"/>
          <bgColor rgb="FF000000"/>
        </patternFill>
      </fill>
    </dxf>
    <dxf>
      <fill>
        <patternFill patternType="solid">
          <fgColor rgb="FFE27E6C"/>
          <bgColor rgb="FF000000"/>
        </patternFill>
      </fill>
    </dxf>
    <dxf>
      <fill>
        <patternFill patternType="solid">
          <fgColor rgb="FFA3A267"/>
          <bgColor rgb="FF000000"/>
        </patternFill>
      </fill>
    </dxf>
    <dxf>
      <fill>
        <patternFill patternType="solid">
          <fgColor rgb="FFA99F67"/>
          <bgColor rgb="FF000000"/>
        </patternFill>
      </fill>
    </dxf>
    <dxf>
      <fill>
        <patternFill patternType="solid">
          <fgColor rgb="FFAE9C68"/>
          <bgColor rgb="FF000000"/>
        </patternFill>
      </fill>
    </dxf>
    <dxf>
      <fill>
        <patternFill patternType="solid">
          <fgColor rgb="FFB29A68"/>
          <bgColor rgb="FF000000"/>
        </patternFill>
      </fill>
    </dxf>
    <dxf>
      <fill>
        <patternFill patternType="solid">
          <fgColor rgb="FFB59868"/>
          <bgColor rgb="FF000000"/>
        </patternFill>
      </fill>
    </dxf>
    <dxf>
      <fill>
        <patternFill patternType="solid">
          <fgColor rgb="FFB99668"/>
          <bgColor rgb="FF000000"/>
        </patternFill>
      </fill>
    </dxf>
    <dxf>
      <fill>
        <patternFill patternType="solid">
          <fgColor rgb="FFBA9568"/>
          <bgColor rgb="FF000000"/>
        </patternFill>
      </fill>
    </dxf>
    <dxf>
      <fill>
        <patternFill patternType="solid">
          <fgColor rgb="FFBC9469"/>
          <bgColor rgb="FF000000"/>
        </patternFill>
      </fill>
    </dxf>
    <dxf>
      <fill>
        <patternFill patternType="solid">
          <fgColor rgb="FFCC8B6A"/>
          <bgColor rgb="FF000000"/>
        </patternFill>
      </fill>
    </dxf>
    <dxf>
      <fill>
        <patternFill patternType="solid">
          <fgColor rgb="FFD2886A"/>
          <bgColor rgb="FF000000"/>
        </patternFill>
      </fill>
    </dxf>
    <dxf>
      <fill>
        <patternFill patternType="solid">
          <fgColor rgb="FFD8846A"/>
          <bgColor rgb="FF000000"/>
        </patternFill>
      </fill>
    </dxf>
    <dxf>
      <fill>
        <patternFill patternType="solid">
          <fgColor rgb="FFD9836A"/>
          <bgColor rgb="FF000000"/>
        </patternFill>
      </fill>
    </dxf>
    <dxf>
      <fill>
        <patternFill patternType="solid">
          <fgColor rgb="FFDF806B"/>
          <bgColor rgb="FF000000"/>
        </patternFill>
      </fill>
    </dxf>
    <dxf>
      <fill>
        <patternFill patternType="solid">
          <fgColor rgb="FFE07F6B"/>
          <bgColor rgb="FF000000"/>
        </patternFill>
      </fill>
    </dxf>
    <dxf>
      <fill>
        <patternFill patternType="solid">
          <fgColor rgb="FFEF766C"/>
          <bgColor rgb="FF000000"/>
        </patternFill>
      </fill>
    </dxf>
    <dxf>
      <fill>
        <patternFill patternType="solid">
          <fgColor rgb="FFF4746C"/>
          <bgColor rgb="FF000000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ollama.com/library/gemma4:31b" TargetMode="External"/><Relationship Id="rId3" Type="http://schemas.openxmlformats.org/officeDocument/2006/relationships/hyperlink" Target="https://huggingface.co/bartowski/DeepSeek-R1-Distill-Qwen-32B-GGUF" TargetMode="External"/><Relationship Id="rId4" Type="http://schemas.openxmlformats.org/officeDocument/2006/relationships/hyperlink" Target="https://huggingface.co/bartowski/Qwen2.5-32B-Instruct-GGUF" TargetMode="External"/><Relationship Id="rId5" Type="http://schemas.openxmlformats.org/officeDocument/2006/relationships/hyperlink" Target="https://huggingface.co/unsloth/Mistral-Small-24B-Instruct-2501-GGUF" TargetMode="External"/><Relationship Id="rId6" Type="http://schemas.openxmlformats.org/officeDocument/2006/relationships/hyperlink" Target="https://huggingface.co/bartowski/Yi-1.5-34B-Chat-GGUF" TargetMode="External"/><Relationship Id="rId7" Type="http://schemas.openxmlformats.org/officeDocument/2006/relationships/hyperlink" Target="https://huggingface.co/bartowski/google_gemma-3-27b-it-GGUF" TargetMode="External"/><Relationship Id="rId8" Type="http://schemas.openxmlformats.org/officeDocument/2006/relationships/hyperlink" Target="https://huggingface.co/bartowski/gemma-2-27b-it-GGUF" TargetMode="External"/><Relationship Id="rId9" Type="http://schemas.openxmlformats.org/officeDocument/2006/relationships/hyperlink" Target="https://huggingface.co/RedHatAI/gemma-4-26B-A4B-it-FP8-dynamic" TargetMode="External"/><Relationship Id="rId10" Type="http://schemas.openxmlformats.org/officeDocument/2006/relationships/hyperlink" Target="https://huggingface.co/matteogeniaccio/phi-4" TargetMode="External"/><Relationship Id="rId11" Type="http://schemas.openxmlformats.org/officeDocument/2006/relationships/hyperlink" Target="https://ollama.com/mirage335/Mistral-Small-3_2-24B-Instruct-2506-virtuoso" TargetMode="External"/><Relationship Id="rId12" Type="http://schemas.openxmlformats.org/officeDocument/2006/relationships/hyperlink" Target="https://huggingface.co/unsloth/Llama-3.3-70B-Instruct-GGUF" TargetMode="External"/><Relationship Id="rId13" Type="http://schemas.openxmlformats.org/officeDocument/2006/relationships/hyperlink" Target="https://huggingface.co/bartowski/gemma-2-9b-it-GGUF" TargetMode="External"/><Relationship Id="rId14" Type="http://schemas.openxmlformats.org/officeDocument/2006/relationships/hyperlink" Target="https://huggingface.co/born2bewild/Qwen3.8-27B-W4A16-AutoRound-fast" TargetMode="External"/><Relationship Id="rId15" Type="http://schemas.openxmlformats.org/officeDocument/2006/relationships/hyperlink" Target="https://huggingface.co/TheBloke/Mixtral-8x7B-Instruct-v0.1-GGUF" TargetMode="External"/><Relationship Id="rId16" Type="http://schemas.openxmlformats.org/officeDocument/2006/relationships/hyperlink" Target="https://huggingface.co/bartowski/Meta-Llama-3.1-8B-Instruct-GGUF" TargetMode="External"/><Relationship Id="rId17" Type="http://schemas.openxmlformats.org/officeDocument/2006/relationships/hyperlink" Target="https://huggingface.co/bartowski/Mistral-NeMo-Minitron-8B-Instruct-GGUF" TargetMode="External"/><Relationship Id="rId18" Type="http://schemas.openxmlformats.org/officeDocument/2006/relationships/hyperlink" Target="https://ollama.com/library/glm-4.7-flash:q4_K_M" TargetMode="External"/><Relationship Id="rId19" Type="http://schemas.openxmlformats.org/officeDocument/2006/relationships/hyperlink" Target="https://huggingface.co/bartowski/Meta-Llama-3.1-70B-Instruct-GGUF" TargetMode="External"/><Relationship Id="rId20" Type="http://schemas.openxmlformats.org/officeDocument/2006/relationships/hyperlink" Target="https://huggingface.co/onprem-ai/Apertus-v1.5-8B-FP8" TargetMode="External"/><Relationship Id="rId21" Type="http://schemas.openxmlformats.org/officeDocument/2006/relationships/hyperlink" Target="https://huggingface.co/bartowski/Phi-3-medium-4k-instruct-GGUF" TargetMode="External"/><Relationship Id="rId22" Type="http://schemas.openxmlformats.org/officeDocument/2006/relationships/hyperlink" Target="https://huggingface.co/lovedheart/Qwen3.5-4B-FP8" TargetMode="External"/><Relationship Id="rId23" Type="http://schemas.openxmlformats.org/officeDocument/2006/relationships/hyperlink" Target="https://huggingface.co/mradermacher/c4ai-command-r-v01-i1-GGUF" TargetMode="External"/><Relationship Id="rId24" Type="http://schemas.openxmlformats.org/officeDocument/2006/relationships/hyperlink" Target="https://huggingface.co/TheBloke/SOLAR-10.7B-Instruct-v1.0-GGUF" TargetMode="External"/><Relationship Id="rId25" Type="http://schemas.openxmlformats.org/officeDocument/2006/relationships/hyperlink" Target="https://huggingface.co/microsoft/Phi-3-mini-4k-instruct-gguf" TargetMode="External"/><Relationship Id="rId26" Type="http://schemas.openxmlformats.org/officeDocument/2006/relationships/hyperlink" Target="https://huggingface.co/bartowski/Ministral-8B-Instruct-2410-GGUF" TargetMode="External"/><Relationship Id="rId27" Type="http://schemas.openxmlformats.org/officeDocument/2006/relationships/hyperlink" Target="https://ollama.com/MichelRosselli/apertus:8b-instruct-2509-q4_k_m" TargetMode="External"/><Relationship Id="rId28" Type="http://schemas.openxmlformats.org/officeDocument/2006/relationships/hyperlink" Target="https://huggingface.co/TheBloke/Llama-2-7B-32K-Instruct-GGUF" TargetMode="External"/><Relationship Id="rId29" Type="http://schemas.openxmlformats.org/officeDocument/2006/relationships/hyperlink" Target="https://huggingface.co/bartowski/gemma-2-2b-it-GGUF" TargetMode="External"/><Relationship Id="rId30" Type="http://schemas.openxmlformats.org/officeDocument/2006/relationships/hyperlink" Target="https://huggingface.co/bartowski/Llama-3.2-3B-Instruct-GGUF" TargetMode="External"/><Relationship Id="rId31" Type="http://schemas.openxmlformats.org/officeDocument/2006/relationships/hyperlink" Target="https://huggingface.co/RichardErkhov/BSC-LT_-_salamandra-7b-instruct-gguf" TargetMode="External"/><Relationship Id="rId32" Type="http://schemas.openxmlformats.org/officeDocument/2006/relationships/hyperlink" Target="https://huggingface.co/bartowski/OLMoE-1B-7B-0924-Instruct-GGUF" TargetMode="External"/><Relationship Id="rId33" Type="http://schemas.openxmlformats.org/officeDocument/2006/relationships/hyperlink" Target="https://huggingface.co/fragata/PULI-LlumiX-32K-Instruct-Q4_K_M-GGUF" TargetMode="External"/><Relationship Id="rId34" Type="http://schemas.openxmlformats.org/officeDocument/2006/relationships/hyperlink" Target="https://huggingface.co/mradermacher/falcon-mamba-7b-instruct-GGUF" TargetMode="External"/><Relationship Id="rId35" Type="http://schemas.openxmlformats.org/officeDocument/2006/relationships/hyperlink" Target="https://huggingface.co/ariel-ml/SambaLingo-Hungarian-Chat-GGUF" TargetMode="External"/><Relationship Id="rId36" Type="http://schemas.openxmlformats.org/officeDocument/2006/relationships/hyperlink" Target="https://huggingface.co/bartowski/gemma-2-2b-it-GGUF" TargetMode="External"/><Relationship Id="rId37" Type="http://schemas.openxmlformats.org/officeDocument/2006/relationships/drawing" Target="../drawings/drawing1.xml"/><Relationship Id="rId38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ollama.com/MichelRosselli/apertus:70b-instruct-2509-q4_k_m" TargetMode="External"/><Relationship Id="rId3" Type="http://schemas.openxmlformats.org/officeDocument/2006/relationships/hyperlink" Target="https://huggingface.co/onprem-ai/Apertus-v1.5-8B-FP8" TargetMode="External"/><Relationship Id="rId4" Type="http://schemas.openxmlformats.org/officeDocument/2006/relationships/hyperlink" Target="https://huggingface.co/bartowski/gemma-2-27b-it-GGUF" TargetMode="External"/><Relationship Id="rId5" Type="http://schemas.openxmlformats.org/officeDocument/2006/relationships/hyperlink" Target="https://huggingface.co/bartowski/google_gemma-3-27b-it-GGUF" TargetMode="External"/><Relationship Id="rId6" Type="http://schemas.openxmlformats.org/officeDocument/2006/relationships/hyperlink" Target="https://ollama.com/MichelRosselli/apertus:8b-instruct-2509-q4_k_m" TargetMode="External"/><Relationship Id="rId7" Type="http://schemas.openxmlformats.org/officeDocument/2006/relationships/hyperlink" Target="https://huggingface.co/ariel-ml/SambaLingo-Hungarian-Chat-GGUF" TargetMode="External"/><Relationship Id="rId8" Type="http://schemas.openxmlformats.org/officeDocument/2006/relationships/hyperlink" Target="https://huggingface.co/born2bewild/Qwen3.8-27B-W4A16-AutoRound-fast" TargetMode="External"/><Relationship Id="rId9" Type="http://schemas.openxmlformats.org/officeDocument/2006/relationships/hyperlink" Target="https://huggingface.co/RichardErkhov/BSC-LT_-_salamandra-7b-instruct-gguf" TargetMode="External"/><Relationship Id="rId10" Type="http://schemas.openxmlformats.org/officeDocument/2006/relationships/hyperlink" Target="https://ollama.com/library/gemma4:31b" TargetMode="External"/><Relationship Id="rId11" Type="http://schemas.openxmlformats.org/officeDocument/2006/relationships/hyperlink" Target="https://huggingface.co/bartowski/Meta-Llama-3.1-70B-Instruct-GGUF" TargetMode="External"/><Relationship Id="rId12" Type="http://schemas.openxmlformats.org/officeDocument/2006/relationships/hyperlink" Target="https://huggingface.co/fragata/PULI-LlumiX-32K-Instruct-Q4_K_M-GGUF" TargetMode="External"/><Relationship Id="rId13" Type="http://schemas.openxmlformats.org/officeDocument/2006/relationships/hyperlink" Target="https://huggingface.co/bartowski/gemma-2-9b-it-GGUF" TargetMode="External"/><Relationship Id="rId14" Type="http://schemas.openxmlformats.org/officeDocument/2006/relationships/hyperlink" Target="https://ollama.com/library/glm-4.7-flash:q4_K_M" TargetMode="External"/><Relationship Id="rId15" Type="http://schemas.openxmlformats.org/officeDocument/2006/relationships/hyperlink" Target="https://huggingface.co/unsloth/Mistral-Small-24B-Instruct-2501-GGUF" TargetMode="External"/><Relationship Id="rId16" Type="http://schemas.openxmlformats.org/officeDocument/2006/relationships/hyperlink" Target="https://huggingface.co/RedHatAI/gemma-4-26B-A4B-it-FP8-dynamic" TargetMode="External"/><Relationship Id="rId17" Type="http://schemas.openxmlformats.org/officeDocument/2006/relationships/hyperlink" Target="https://huggingface.co/matteogeniaccio/phi-4" TargetMode="External"/><Relationship Id="rId18" Type="http://schemas.openxmlformats.org/officeDocument/2006/relationships/hyperlink" Target="https://huggingface.co/unsloth/Llama-3.3-70B-Instruct-GGUF" TargetMode="External"/><Relationship Id="rId19" Type="http://schemas.openxmlformats.org/officeDocument/2006/relationships/hyperlink" Target="https://ollama.com/mirage335/Mistral-Small-3_2-24B-Instruct-2506-virtuoso" TargetMode="External"/><Relationship Id="rId20" Type="http://schemas.openxmlformats.org/officeDocument/2006/relationships/hyperlink" Target="https://huggingface.co/TheBloke/Mixtral-8x7B-Instruct-v0.1-GGUF" TargetMode="External"/><Relationship Id="rId21" Type="http://schemas.openxmlformats.org/officeDocument/2006/relationships/hyperlink" Target="https://ollama.com/library/gpt-oss:20b" TargetMode="External"/><Relationship Id="rId22" Type="http://schemas.openxmlformats.org/officeDocument/2006/relationships/hyperlink" Target="https://huggingface.co/bartowski/Meta-Llama-3.1-8B-Instruct-GGUF" TargetMode="External"/><Relationship Id="rId23" Type="http://schemas.openxmlformats.org/officeDocument/2006/relationships/hyperlink" Target="https://huggingface.co/bartowski/Qwen2.5-32B-Instruct-GGUF" TargetMode="External"/><Relationship Id="rId24" Type="http://schemas.openxmlformats.org/officeDocument/2006/relationships/hyperlink" Target="https://huggingface.co/lovedheart/Qwen3.5-4B-FP8" TargetMode="External"/><Relationship Id="rId25" Type="http://schemas.openxmlformats.org/officeDocument/2006/relationships/hyperlink" Target="https://ollama.com/library/aya-expanse:32b" TargetMode="External"/><Relationship Id="rId26" Type="http://schemas.openxmlformats.org/officeDocument/2006/relationships/hyperlink" Target="https://huggingface.co/TheBloke/SOLAR-10.7B-Instruct-v1.0-GGUF" TargetMode="External"/><Relationship Id="rId27" Type="http://schemas.openxmlformats.org/officeDocument/2006/relationships/hyperlink" Target="https://huggingface.co/bartowski/Ministral-8B-Instruct-2410-GGUF" TargetMode="External"/><Relationship Id="rId28" Type="http://schemas.openxmlformats.org/officeDocument/2006/relationships/hyperlink" Target="https://huggingface.co/mradermacher/c4ai-command-r-v01-i1-GGUF" TargetMode="External"/><Relationship Id="rId29" Type="http://schemas.openxmlformats.org/officeDocument/2006/relationships/hyperlink" Target="https://huggingface.co/bartowski/gemma-2-2b-it-GGUF" TargetMode="External"/><Relationship Id="rId30" Type="http://schemas.openxmlformats.org/officeDocument/2006/relationships/hyperlink" Target="https://huggingface.co/robbiemu/salamandra-2b-instruct" TargetMode="External"/><Relationship Id="rId31" Type="http://schemas.openxmlformats.org/officeDocument/2006/relationships/hyperlink" Target="https://huggingface.co/bartowski/Llama-3.2-3B-Instruct-GGUF" TargetMode="External"/><Relationship Id="rId32" Type="http://schemas.openxmlformats.org/officeDocument/2006/relationships/hyperlink" Target="https://ollama.com/library/ministral-3:14b" TargetMode="External"/><Relationship Id="rId33" Type="http://schemas.openxmlformats.org/officeDocument/2006/relationships/hyperlink" Target="https://huggingface.co/bartowski/Mistral-NeMo-Minitron-8B-Instruct-GGUF" TargetMode="External"/><Relationship Id="rId34" Type="http://schemas.openxmlformats.org/officeDocument/2006/relationships/hyperlink" Target="https://huggingface.co/bartowski/Yi-1.5-34B-Chat-GGUF" TargetMode="External"/><Relationship Id="rId35" Type="http://schemas.openxmlformats.org/officeDocument/2006/relationships/hyperlink" Target="https://huggingface.co/TheBloke/Llama-2-7B-32K-Instruct-GGUF" TargetMode="External"/><Relationship Id="rId36" Type="http://schemas.openxmlformats.org/officeDocument/2006/relationships/hyperlink" Target="https://huggingface.co/bartowski/Phi-3-medium-4k-instruct-GGUF" TargetMode="External"/><Relationship Id="rId37" Type="http://schemas.openxmlformats.org/officeDocument/2006/relationships/hyperlink" Target="https://huggingface.co/bartowski/OLMoE-1B-7B-0924-Instruct-GGUF" TargetMode="External"/><Relationship Id="rId38" Type="http://schemas.openxmlformats.org/officeDocument/2006/relationships/hyperlink" Target="https://huggingface.co/microsoft/Phi-3-mini-4k-instruct-gguf" TargetMode="External"/><Relationship Id="rId39" Type="http://schemas.openxmlformats.org/officeDocument/2006/relationships/hyperlink" Target="https://huggingface.co/bartowski/DeepSeek-R1-Distill-Qwen-32B-GGUF" TargetMode="External"/><Relationship Id="rId40" Type="http://schemas.openxmlformats.org/officeDocument/2006/relationships/hyperlink" Target="https://huggingface.co/mradermacher/falcon-mamba-7b-instruct-GGUF" TargetMode="External"/><Relationship Id="rId41" Type="http://schemas.openxmlformats.org/officeDocument/2006/relationships/drawing" Target="../drawings/drawing2.xml"/><Relationship Id="rId4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hyperlink" Target="https://huggingface.co/onprem-ai/Apertus-v1.5-8B-FP8" TargetMode="External"/><Relationship Id="rId3" Type="http://schemas.openxmlformats.org/officeDocument/2006/relationships/hyperlink" Target="https://huggingface.co/bartowski/google_gemma-3-27b-it-GGUF" TargetMode="External"/><Relationship Id="rId4" Type="http://schemas.openxmlformats.org/officeDocument/2006/relationships/hyperlink" Target="https://huggingface.co/unsloth/Mistral-Small-24B-Instruct-2501-GGUF" TargetMode="External"/><Relationship Id="rId5" Type="http://schemas.openxmlformats.org/officeDocument/2006/relationships/hyperlink" Target="https://huggingface.co/bartowski/Meta-Llama-3.1-70B-Instruct-GGUF" TargetMode="External"/><Relationship Id="rId6" Type="http://schemas.openxmlformats.org/officeDocument/2006/relationships/hyperlink" Target="https://huggingface.co/bartowski/gemma-2-27b-it-GGUF" TargetMode="External"/><Relationship Id="rId7" Type="http://schemas.openxmlformats.org/officeDocument/2006/relationships/hyperlink" Target="https://ollama.com/MichelRosselli/apertus:8b-instruct-2509-q4_k_m" TargetMode="External"/><Relationship Id="rId8" Type="http://schemas.openxmlformats.org/officeDocument/2006/relationships/hyperlink" Target="https://ollama.com/library/glm-4.7-flash:q4_K_M" TargetMode="External"/><Relationship Id="rId9" Type="http://schemas.openxmlformats.org/officeDocument/2006/relationships/hyperlink" Target="https://huggingface.co/unsloth/Llama-3.3-70B-Instruct-GGUF" TargetMode="External"/><Relationship Id="rId10" Type="http://schemas.openxmlformats.org/officeDocument/2006/relationships/hyperlink" Target="https://huggingface.co/bartowski/gemma-2-9b-it-GGUF" TargetMode="External"/><Relationship Id="rId11" Type="http://schemas.openxmlformats.org/officeDocument/2006/relationships/hyperlink" Target="https://huggingface.co/RichardErkhov/BSC-LT_-_salamandra-7b-instruct-gguf" TargetMode="External"/><Relationship Id="rId12" Type="http://schemas.openxmlformats.org/officeDocument/2006/relationships/hyperlink" Target="https://ollama.com/mirage335/Mistral-Small-3_2-24B-Instruct-2506-virtuoso" TargetMode="External"/><Relationship Id="rId13" Type="http://schemas.openxmlformats.org/officeDocument/2006/relationships/hyperlink" Target="https://ollama.com/library/gemma4:31b" TargetMode="External"/><Relationship Id="rId14" Type="http://schemas.openxmlformats.org/officeDocument/2006/relationships/hyperlink" Target="https://huggingface.co/born2bewild/Qwen3.8-27B-W4A16-AutoRound-fast" TargetMode="External"/><Relationship Id="rId15" Type="http://schemas.openxmlformats.org/officeDocument/2006/relationships/hyperlink" Target="https://huggingface.co/ariel-ml/SambaLingo-Hungarian-Chat-GGUF" TargetMode="External"/><Relationship Id="rId16" Type="http://schemas.openxmlformats.org/officeDocument/2006/relationships/hyperlink" Target="https://huggingface.co/RedHatAI/gemma-4-26B-A4B-it-FP8-dynamic" TargetMode="External"/><Relationship Id="rId17" Type="http://schemas.openxmlformats.org/officeDocument/2006/relationships/hyperlink" Target="https://huggingface.co/fragata/PULI-LlumiX-32K-Instruct-Q4_K_M-GGUF" TargetMode="External"/><Relationship Id="rId18" Type="http://schemas.openxmlformats.org/officeDocument/2006/relationships/hyperlink" Target="https://ollama.com/library/ministral-3:14b" TargetMode="External"/><Relationship Id="rId19" Type="http://schemas.openxmlformats.org/officeDocument/2006/relationships/hyperlink" Target="https://huggingface.co/TheBloke/Mixtral-8x7B-Instruct-v0.1-GGUF" TargetMode="External"/><Relationship Id="rId20" Type="http://schemas.openxmlformats.org/officeDocument/2006/relationships/hyperlink" Target="https://huggingface.co/lovedheart/Qwen3.5-4B-FP8" TargetMode="External"/><Relationship Id="rId21" Type="http://schemas.openxmlformats.org/officeDocument/2006/relationships/hyperlink" Target="https://huggingface.co/matteogeniaccio/phi-4" TargetMode="External"/><Relationship Id="rId22" Type="http://schemas.openxmlformats.org/officeDocument/2006/relationships/drawing" Target="../drawings/drawing3.xml"/><Relationship Id="rId23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9" activeCellId="0" sqref="A39"/>
    </sheetView>
  </sheetViews>
  <sheetFormatPr defaultColWidth="11.53515625" defaultRowHeight="12" customHeight="true" zeroHeight="false" outlineLevelRow="0" outlineLevelCol="0"/>
  <cols>
    <col collapsed="false" customWidth="true" hidden="false" outlineLevel="0" max="1" min="1" style="1" width="40.74"/>
    <col collapsed="false" customWidth="true" hidden="false" outlineLevel="0" max="2" min="2" style="1" width="32.43"/>
    <col collapsed="false" customWidth="false" hidden="false" outlineLevel="0" max="3" min="3" style="2" width="11.53"/>
    <col collapsed="false" customWidth="true" hidden="false" outlineLevel="0" max="4" min="4" style="3" width="7.16"/>
    <col collapsed="false" customWidth="true" hidden="false" outlineLevel="0" max="5" min="5" style="4" width="7.16"/>
    <col collapsed="false" customWidth="true" hidden="false" outlineLevel="0" max="6" min="6" style="3" width="7.16"/>
    <col collapsed="false" customWidth="true" hidden="false" outlineLevel="0" max="7" min="7" style="4" width="7.16"/>
    <col collapsed="false" customWidth="true" hidden="false" outlineLevel="0" max="9" min="8" style="3" width="7.16"/>
    <col collapsed="false" customWidth="true" hidden="false" outlineLevel="0" max="10" min="10" style="4" width="7.16"/>
    <col collapsed="false" customWidth="true" hidden="false" outlineLevel="0" max="11" min="11" style="3" width="7.16"/>
    <col collapsed="false" customWidth="true" hidden="false" outlineLevel="0" max="12" min="12" style="4" width="7.16"/>
    <col collapsed="false" customWidth="true" hidden="false" outlineLevel="0" max="14" min="13" style="3" width="7.16"/>
    <col collapsed="false" customWidth="true" hidden="false" outlineLevel="0" max="15" min="15" style="4" width="7.16"/>
    <col collapsed="false" customWidth="true" hidden="false" outlineLevel="0" max="16" min="16" style="3" width="7.16"/>
    <col collapsed="false" customWidth="true" hidden="false" outlineLevel="0" max="17" min="17" style="4" width="6.7"/>
    <col collapsed="false" customWidth="true" hidden="false" outlineLevel="0" max="18" min="18" style="3" width="7.16"/>
    <col collapsed="false" customWidth="true" hidden="false" outlineLevel="0" max="19" min="19" style="4" width="6.7"/>
    <col collapsed="false" customWidth="true" hidden="false" outlineLevel="0" max="21" min="20" style="3" width="7.16"/>
    <col collapsed="false" customWidth="true" hidden="false" outlineLevel="0" max="22" min="22" style="4" width="6.7"/>
    <col collapsed="false" customWidth="true" hidden="false" outlineLevel="0" max="23" min="23" style="3" width="7.16"/>
    <col collapsed="false" customWidth="true" hidden="false" outlineLevel="0" max="24" min="24" style="4" width="6.7"/>
  </cols>
  <sheetData>
    <row r="1" customFormat="false" ht="12.65" hidden="false" customHeight="false" outlineLevel="0" collapsed="false">
      <c r="A1" s="2" t="s">
        <v>0</v>
      </c>
      <c r="B1" s="2" t="s">
        <v>1</v>
      </c>
      <c r="D1" s="5" t="s">
        <v>2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="6" customFormat="true" ht="12.65" hidden="false" customHeight="false" outlineLevel="0" collapsed="false">
      <c r="C2" s="7" t="s">
        <v>3</v>
      </c>
      <c r="D2" s="5" t="s">
        <v>4</v>
      </c>
      <c r="E2" s="5"/>
      <c r="F2" s="5" t="s">
        <v>5</v>
      </c>
      <c r="G2" s="5"/>
      <c r="H2" s="5" t="s">
        <v>6</v>
      </c>
      <c r="I2" s="5"/>
      <c r="J2" s="5"/>
      <c r="K2" s="5" t="s">
        <v>7</v>
      </c>
      <c r="L2" s="5"/>
      <c r="M2" s="5" t="s">
        <v>8</v>
      </c>
      <c r="N2" s="5"/>
      <c r="O2" s="5"/>
      <c r="P2" s="5" t="s">
        <v>9</v>
      </c>
      <c r="Q2" s="5"/>
      <c r="R2" s="5" t="s">
        <v>10</v>
      </c>
      <c r="S2" s="5"/>
      <c r="T2" s="5" t="s">
        <v>11</v>
      </c>
      <c r="U2" s="5"/>
      <c r="V2" s="5"/>
      <c r="W2" s="5" t="s">
        <v>12</v>
      </c>
      <c r="X2" s="5"/>
    </row>
    <row r="3" customFormat="false" ht="12.65" hidden="false" customHeight="false" outlineLevel="0" collapsed="false">
      <c r="A3" s="1" t="n">
        <f aca="false" t="array" ref="A3:A3">SUM(IF(A4:A50&lt;&gt;"",1,0))</f>
        <v>35</v>
      </c>
      <c r="D3" s="8" t="n">
        <v>1043</v>
      </c>
      <c r="E3" s="9" t="s">
        <v>13</v>
      </c>
      <c r="F3" s="8" t="n">
        <v>9815</v>
      </c>
      <c r="G3" s="9" t="s">
        <v>13</v>
      </c>
      <c r="H3" s="8" t="n">
        <v>408</v>
      </c>
      <c r="I3" s="8"/>
      <c r="J3" s="9" t="s">
        <v>13</v>
      </c>
      <c r="K3" s="8" t="n">
        <v>5463</v>
      </c>
      <c r="L3" s="9" t="s">
        <v>13</v>
      </c>
      <c r="M3" s="10" t="n">
        <v>40430</v>
      </c>
      <c r="N3" s="8"/>
      <c r="O3" s="9" t="s">
        <v>13</v>
      </c>
      <c r="P3" s="10" t="n">
        <v>277</v>
      </c>
      <c r="Q3" s="9" t="s">
        <v>13</v>
      </c>
      <c r="R3" s="10" t="n">
        <v>872</v>
      </c>
      <c r="S3" s="9" t="s">
        <v>13</v>
      </c>
      <c r="T3" s="8" t="n">
        <v>1500</v>
      </c>
      <c r="U3" s="8"/>
      <c r="V3" s="9" t="s">
        <v>13</v>
      </c>
      <c r="W3" s="8" t="n">
        <v>71</v>
      </c>
      <c r="X3" s="9" t="s">
        <v>13</v>
      </c>
    </row>
    <row r="4" customFormat="false" ht="12.65" hidden="false" customHeight="false" outlineLevel="0" collapsed="false">
      <c r="A4" s="11" t="s">
        <v>14</v>
      </c>
      <c r="B4" s="12" t="s">
        <v>15</v>
      </c>
      <c r="C4" s="13" t="n">
        <f aca="false">AVERAGE(W4,T4:U4,R4,P4,N4,M4,K4,H4,I4,F4,D4)</f>
        <v>0.83359771431465</v>
      </c>
      <c r="D4" s="14" t="n">
        <v>0.68732522745449</v>
      </c>
      <c r="E4" s="15" t="n">
        <f aca="false">0/$D$3</f>
        <v>0</v>
      </c>
      <c r="F4" s="14" t="n">
        <v>0.392358634742741</v>
      </c>
      <c r="G4" s="15" t="n">
        <f aca="false">0/$F$3</f>
        <v>0</v>
      </c>
      <c r="H4" s="14" t="n">
        <v>0.821078431372549</v>
      </c>
      <c r="I4" s="14" t="n">
        <v>0.868940754039497</v>
      </c>
      <c r="J4" s="15" t="n">
        <f aca="false">0/$H$3</f>
        <v>0</v>
      </c>
      <c r="K4" s="14" t="n">
        <v>0.950027457440967</v>
      </c>
      <c r="L4" s="15" t="n">
        <f aca="false">0/$K$3</f>
        <v>0</v>
      </c>
      <c r="M4" s="14" t="n">
        <v>0.853623546871135</v>
      </c>
      <c r="N4" s="14" t="n">
        <v>0.8012626771442</v>
      </c>
      <c r="O4" s="15" t="n">
        <f aca="false">0/$M$3</f>
        <v>0</v>
      </c>
      <c r="P4" s="14" t="n">
        <v>0.916967509025271</v>
      </c>
      <c r="Q4" s="15" t="n">
        <f aca="false">0/$P$3</f>
        <v>0</v>
      </c>
      <c r="R4" s="14" t="n">
        <v>0.956422018348624</v>
      </c>
      <c r="S4" s="15" t="n">
        <f aca="false">0/$R$3</f>
        <v>0</v>
      </c>
      <c r="T4" s="14" t="n">
        <v>0.909087061882019</v>
      </c>
      <c r="U4" s="14" t="n">
        <v>0.916501788665579</v>
      </c>
      <c r="V4" s="15" t="n">
        <f aca="false">0/$T$3</f>
        <v>0</v>
      </c>
      <c r="W4" s="14" t="n">
        <v>0.929577464788732</v>
      </c>
      <c r="X4" s="15" t="n">
        <f aca="false">0/$W$3</f>
        <v>0</v>
      </c>
    </row>
    <row r="5" customFormat="false" ht="12.65" hidden="false" customHeight="false" outlineLevel="0" collapsed="false">
      <c r="A5" s="16" t="s">
        <v>16</v>
      </c>
      <c r="B5" s="12" t="s">
        <v>17</v>
      </c>
      <c r="C5" s="13" t="n">
        <f aca="false">AVERAGE(W5,T5:U5,R5,P5,N5,M5,K5,H5,I5,F5,D5)</f>
        <v>0.815962291821483</v>
      </c>
      <c r="D5" s="14" t="n">
        <v>0.58410050980587</v>
      </c>
      <c r="E5" s="15" t="n">
        <f aca="false">0/$D$3</f>
        <v>0</v>
      </c>
      <c r="F5" s="14" t="n">
        <v>0.555170657157412</v>
      </c>
      <c r="G5" s="15" t="n">
        <f aca="false">0/$F$3</f>
        <v>0</v>
      </c>
      <c r="H5" s="14" t="n">
        <v>0.774509803921569</v>
      </c>
      <c r="I5" s="14" t="n">
        <v>0.84192439862543</v>
      </c>
      <c r="J5" s="15" t="n">
        <f aca="false">0/$H$3</f>
        <v>0</v>
      </c>
      <c r="K5" s="14" t="n">
        <v>0.903532857404357</v>
      </c>
      <c r="L5" s="15" t="n">
        <f aca="false">0/$K$3</f>
        <v>0</v>
      </c>
      <c r="M5" s="14" t="n">
        <v>0.84699480583725</v>
      </c>
      <c r="N5" s="14" t="n">
        <v>0.80656660412758</v>
      </c>
      <c r="O5" s="15" t="n">
        <f aca="false">0/$M$3</f>
        <v>0</v>
      </c>
      <c r="P5" s="14" t="n">
        <v>0.902527075812274</v>
      </c>
      <c r="Q5" s="15" t="n">
        <f aca="false">0/$P$3</f>
        <v>0</v>
      </c>
      <c r="R5" s="14" t="n">
        <v>0.935779816513762</v>
      </c>
      <c r="S5" s="15" t="n">
        <f aca="false">0/$R$3</f>
        <v>0</v>
      </c>
      <c r="T5" s="14" t="n">
        <v>0.902821587398393</v>
      </c>
      <c r="U5" s="14" t="n">
        <v>0.906633469760947</v>
      </c>
      <c r="V5" s="15" t="n">
        <f aca="false">0/$T$3</f>
        <v>0</v>
      </c>
      <c r="W5" s="14" t="n">
        <v>0.830985915492958</v>
      </c>
      <c r="X5" s="15" t="n">
        <f aca="false">0/$W$3</f>
        <v>0</v>
      </c>
    </row>
    <row r="6" customFormat="false" ht="12.65" hidden="false" customHeight="false" outlineLevel="0" collapsed="false">
      <c r="A6" s="16" t="s">
        <v>18</v>
      </c>
      <c r="B6" s="12" t="s">
        <v>19</v>
      </c>
      <c r="C6" s="13" t="n">
        <f aca="false">AVERAGE(W6,T6:U6,R6,P6,N6,M6,K6,H6,I6,F6,D6)</f>
        <v>0.811496442612959</v>
      </c>
      <c r="D6" s="14" t="n">
        <v>0.583123781456463</v>
      </c>
      <c r="E6" s="15" t="n">
        <f aca="false">0/$D$3</f>
        <v>0</v>
      </c>
      <c r="F6" s="14" t="n">
        <v>0.362506367804381</v>
      </c>
      <c r="G6" s="15" t="n">
        <f aca="false">0/$F$3</f>
        <v>0</v>
      </c>
      <c r="H6" s="14" t="n">
        <v>0.794117647058824</v>
      </c>
      <c r="I6" s="14" t="n">
        <v>0.857627118644068</v>
      </c>
      <c r="J6" s="15" t="n">
        <f aca="false">0/$H$3</f>
        <v>0</v>
      </c>
      <c r="K6" s="14" t="n">
        <v>0.900787113307706</v>
      </c>
      <c r="L6" s="15" t="n">
        <f aca="false">0/$K$3</f>
        <v>0</v>
      </c>
      <c r="M6" s="14" t="n">
        <v>0.857853079396488</v>
      </c>
      <c r="N6" s="14" t="n">
        <v>0.815048434332057</v>
      </c>
      <c r="O6" s="15" t="n">
        <f aca="false">0/$M$3</f>
        <v>0</v>
      </c>
      <c r="P6" s="14" t="n">
        <v>0.942238267148014</v>
      </c>
      <c r="Q6" s="15" t="n">
        <f aca="false">0/$P$3</f>
        <v>0</v>
      </c>
      <c r="R6" s="14" t="n">
        <v>0.92545871559633</v>
      </c>
      <c r="S6" s="15" t="n">
        <f aca="false">0/$R$3</f>
        <v>0</v>
      </c>
      <c r="T6" s="14" t="n">
        <v>0.903148288781267</v>
      </c>
      <c r="U6" s="14" t="n">
        <v>0.908724554167942</v>
      </c>
      <c r="V6" s="15" t="n">
        <f aca="false">0/$T$3</f>
        <v>0</v>
      </c>
      <c r="W6" s="14" t="n">
        <v>0.887323943661972</v>
      </c>
      <c r="X6" s="15" t="n">
        <f aca="false">0/$W$3</f>
        <v>0</v>
      </c>
    </row>
    <row r="7" customFormat="false" ht="12.65" hidden="false" customHeight="false" outlineLevel="0" collapsed="false">
      <c r="A7" s="16" t="s">
        <v>20</v>
      </c>
      <c r="B7" s="12" t="s">
        <v>21</v>
      </c>
      <c r="C7" s="13" t="n">
        <f aca="false">AVERAGE(W7,T7:U7,R7,P7,N7,M7,K7,H7,I7,F7,D7)</f>
        <v>0.81057999643052</v>
      </c>
      <c r="D7" s="14" t="n">
        <v>0.618859362759317</v>
      </c>
      <c r="E7" s="15" t="n">
        <f aca="false">0/$D$3</f>
        <v>0</v>
      </c>
      <c r="F7" s="14" t="n">
        <v>0.376770249617932</v>
      </c>
      <c r="G7" s="15" t="n">
        <f aca="false">0/$F$3</f>
        <v>0</v>
      </c>
      <c r="H7" s="14" t="n">
        <v>0.762254901960784</v>
      </c>
      <c r="I7" s="14" t="n">
        <v>0.835314091680815</v>
      </c>
      <c r="J7" s="15" t="n">
        <f aca="false">0/$H$3</f>
        <v>0</v>
      </c>
      <c r="K7" s="14" t="n">
        <v>0.916163280248947</v>
      </c>
      <c r="L7" s="15" t="n">
        <f aca="false">0/$K$3</f>
        <v>0</v>
      </c>
      <c r="M7" s="14" t="n">
        <v>0.847811031412318</v>
      </c>
      <c r="N7" s="14" t="n">
        <v>0.797418760082968</v>
      </c>
      <c r="O7" s="15" t="n">
        <f aca="false">0/$M$3</f>
        <v>0</v>
      </c>
      <c r="P7" s="14" t="n">
        <v>0.945848375451264</v>
      </c>
      <c r="Q7" s="15" t="n">
        <f aca="false">0/$P$3</f>
        <v>0</v>
      </c>
      <c r="R7" s="14" t="n">
        <v>0.923165137614679</v>
      </c>
      <c r="S7" s="15" t="n">
        <f aca="false">0/$R$3</f>
        <v>0</v>
      </c>
      <c r="T7" s="14" t="n">
        <v>0.90570270544481</v>
      </c>
      <c r="U7" s="14" t="n">
        <v>0.910328117230432</v>
      </c>
      <c r="V7" s="15" t="n">
        <f aca="false">0/$T$3</f>
        <v>0</v>
      </c>
      <c r="W7" s="14" t="n">
        <v>0.887323943661972</v>
      </c>
      <c r="X7" s="15" t="n">
        <f aca="false">0/$W$3</f>
        <v>0</v>
      </c>
    </row>
    <row r="8" customFormat="false" ht="12.65" hidden="false" customHeight="false" outlineLevel="0" collapsed="false">
      <c r="A8" s="16" t="s">
        <v>22</v>
      </c>
      <c r="B8" s="12" t="s">
        <v>23</v>
      </c>
      <c r="C8" s="13" t="n">
        <f aca="false">AVERAGE(W8,T8:U8,R8,P8,N8,M8,K8,H8,I8,F8,D8)</f>
        <v>0.809456837704127</v>
      </c>
      <c r="D8" s="14" t="n">
        <v>0.665512350161472</v>
      </c>
      <c r="E8" s="15" t="n">
        <f aca="false">0/$D$3</f>
        <v>0</v>
      </c>
      <c r="F8" s="14" t="n">
        <v>0.43301069791136</v>
      </c>
      <c r="G8" s="15" t="n">
        <f aca="false">0/$F$3</f>
        <v>0</v>
      </c>
      <c r="H8" s="14" t="n">
        <v>0.838235294117647</v>
      </c>
      <c r="I8" s="14" t="n">
        <v>0.881294964028777</v>
      </c>
      <c r="J8" s="15" t="n">
        <f aca="false">0/$H$3</f>
        <v>0</v>
      </c>
      <c r="K8" s="14" t="n">
        <v>0.85337726523888</v>
      </c>
      <c r="L8" s="15" t="n">
        <f aca="false">0/$K$3</f>
        <v>0</v>
      </c>
      <c r="M8" s="14" t="n">
        <v>0.860697501855058</v>
      </c>
      <c r="N8" s="14" t="n">
        <v>0.806951395077809</v>
      </c>
      <c r="O8" s="15" t="n">
        <f aca="false">0/$M$3</f>
        <v>0</v>
      </c>
      <c r="P8" s="14" t="n">
        <v>0.859205776173285</v>
      </c>
      <c r="Q8" s="15" t="n">
        <f aca="false">0/$P$3</f>
        <v>0</v>
      </c>
      <c r="R8" s="14" t="n">
        <v>0.951834862385321</v>
      </c>
      <c r="S8" s="15" t="n">
        <f aca="false">0/$R$3</f>
        <v>0</v>
      </c>
      <c r="T8" s="14" t="n">
        <v>0.886830850881204</v>
      </c>
      <c r="U8" s="14" t="n">
        <v>0.887798700252512</v>
      </c>
      <c r="V8" s="15" t="n">
        <f aca="false">0/$T$3</f>
        <v>0</v>
      </c>
      <c r="W8" s="14" t="n">
        <v>0.788732394366197</v>
      </c>
      <c r="X8" s="15" t="n">
        <f aca="false">0/$W$3</f>
        <v>0</v>
      </c>
    </row>
    <row r="9" customFormat="false" ht="12.65" hidden="false" customHeight="false" outlineLevel="0" collapsed="false">
      <c r="A9" s="16" t="s">
        <v>24</v>
      </c>
      <c r="B9" s="12" t="s">
        <v>25</v>
      </c>
      <c r="C9" s="13" t="n">
        <f aca="false">AVERAGE(W9,T9:U9,R9,P9,N9,M9,K9,H9,I9,F9,D9)</f>
        <v>0.803573760152565</v>
      </c>
      <c r="D9" s="14" t="n">
        <v>0.613991391853572</v>
      </c>
      <c r="E9" s="15" t="n">
        <f aca="false">0/$D$3</f>
        <v>0</v>
      </c>
      <c r="F9" s="14" t="n">
        <v>0.411920529801325</v>
      </c>
      <c r="G9" s="15" t="n">
        <f aca="false">0/$F$3</f>
        <v>0</v>
      </c>
      <c r="H9" s="14" t="n">
        <v>0.774509803921569</v>
      </c>
      <c r="I9" s="14" t="n">
        <v>0.850649350649351</v>
      </c>
      <c r="J9" s="15" t="n">
        <f aca="false">0/$H$3</f>
        <v>0</v>
      </c>
      <c r="K9" s="14" t="n">
        <v>0.90755994874611</v>
      </c>
      <c r="L9" s="15" t="n">
        <f aca="false">0/$K$3</f>
        <v>0</v>
      </c>
      <c r="M9" s="14" t="n">
        <v>0.812045510759337</v>
      </c>
      <c r="N9" s="14" t="n">
        <v>0.783719937384375</v>
      </c>
      <c r="O9" s="15" t="n">
        <f aca="false">0/$M$3</f>
        <v>0</v>
      </c>
      <c r="P9" s="14" t="n">
        <v>0.884476534296029</v>
      </c>
      <c r="Q9" s="15" t="n">
        <f aca="false">0/$P$3</f>
        <v>0</v>
      </c>
      <c r="R9" s="14" t="n">
        <v>0.938073394495413</v>
      </c>
      <c r="S9" s="15" t="n">
        <f aca="false">0/$R$3</f>
        <v>0</v>
      </c>
      <c r="T9" s="14" t="n">
        <v>0.902632906142685</v>
      </c>
      <c r="U9" s="14" t="n">
        <v>0.904150884203545</v>
      </c>
      <c r="V9" s="15" t="n">
        <f aca="false">0/$T$3</f>
        <v>0</v>
      </c>
      <c r="W9" s="14" t="n">
        <v>0.859154929577465</v>
      </c>
      <c r="X9" s="15" t="n">
        <f aca="false">0/$W$3</f>
        <v>0</v>
      </c>
    </row>
    <row r="10" customFormat="false" ht="12.65" hidden="false" customHeight="false" outlineLevel="0" collapsed="false">
      <c r="A10" s="16" t="s">
        <v>26</v>
      </c>
      <c r="B10" s="12" t="s">
        <v>27</v>
      </c>
      <c r="C10" s="13" t="n">
        <f aca="false">AVERAGE(W10,T10:U10,R10,P10,N10,M10,K10,H10,I10,F10,D10)</f>
        <v>0.799244376594315</v>
      </c>
      <c r="D10" s="14" t="n">
        <v>0.618250159186482</v>
      </c>
      <c r="E10" s="15" t="n">
        <f aca="false">1/$D$3</f>
        <v>0.000958772770853308</v>
      </c>
      <c r="F10" s="14" t="n">
        <v>0.411716760061131</v>
      </c>
      <c r="G10" s="15" t="n">
        <f aca="false">0/$F$3</f>
        <v>0</v>
      </c>
      <c r="H10" s="14" t="n">
        <v>0.806372549019608</v>
      </c>
      <c r="I10" s="14" t="n">
        <v>0.866779089376054</v>
      </c>
      <c r="J10" s="15" t="n">
        <f aca="false">0/$H$3</f>
        <v>0</v>
      </c>
      <c r="K10" s="14" t="n">
        <v>0.906278601501007</v>
      </c>
      <c r="L10" s="15" t="n">
        <f aca="false">0/$K$3</f>
        <v>0</v>
      </c>
      <c r="M10" s="14" t="n">
        <v>0.812663863467722</v>
      </c>
      <c r="N10" s="14" t="n">
        <v>0.780958991266123</v>
      </c>
      <c r="O10" s="15" t="n">
        <f aca="false">0/$M$3</f>
        <v>0</v>
      </c>
      <c r="P10" s="14" t="n">
        <v>0.862815884476534</v>
      </c>
      <c r="Q10" s="15" t="n">
        <f aca="false">0/$P$3</f>
        <v>0</v>
      </c>
      <c r="R10" s="14" t="n">
        <v>0.956422018348624</v>
      </c>
      <c r="S10" s="15" t="n">
        <f aca="false">0/$R$3</f>
        <v>0</v>
      </c>
      <c r="T10" s="14" t="n">
        <v>0.885031858670459</v>
      </c>
      <c r="U10" s="14" t="n">
        <v>0.894910349391839</v>
      </c>
      <c r="V10" s="15" t="n">
        <f aca="false">0/$T$3</f>
        <v>0</v>
      </c>
      <c r="W10" s="14" t="n">
        <v>0.788732394366197</v>
      </c>
      <c r="X10" s="15" t="n">
        <f aca="false">0/$W$3</f>
        <v>0</v>
      </c>
    </row>
    <row r="11" customFormat="false" ht="12.65" hidden="false" customHeight="false" outlineLevel="0" collapsed="false">
      <c r="A11" s="16" t="s">
        <v>28</v>
      </c>
      <c r="B11" s="12" t="s">
        <v>29</v>
      </c>
      <c r="C11" s="13" t="n">
        <f aca="false">AVERAGE(W11,T11:U11,R11,P11,N11,M11,K11,H11,I11,F11,D11)</f>
        <v>0.796471271096185</v>
      </c>
      <c r="D11" s="14" t="n">
        <v>0.604797560525562</v>
      </c>
      <c r="E11" s="15" t="n">
        <f aca="false">0/$D$3</f>
        <v>0</v>
      </c>
      <c r="F11" s="14" t="n">
        <v>0.394498217014773</v>
      </c>
      <c r="G11" s="15" t="n">
        <f aca="false">0/$F$3</f>
        <v>0</v>
      </c>
      <c r="H11" s="14" t="n">
        <v>0.784313725490196</v>
      </c>
      <c r="I11" s="14" t="n">
        <v>0.852348993288591</v>
      </c>
      <c r="J11" s="15" t="n">
        <f aca="false">0/$H$3</f>
        <v>0</v>
      </c>
      <c r="K11" s="14" t="n">
        <v>0.873512721947648</v>
      </c>
      <c r="L11" s="15" t="n">
        <f aca="false">0/$K$3</f>
        <v>0</v>
      </c>
      <c r="M11" s="14" t="n">
        <v>0.84328468958694</v>
      </c>
      <c r="N11" s="14" t="n">
        <v>0.790337524818001</v>
      </c>
      <c r="O11" s="15" t="n">
        <f aca="false">0/$M$3</f>
        <v>0</v>
      </c>
      <c r="P11" s="14" t="n">
        <v>0.902527075812274</v>
      </c>
      <c r="Q11" s="15" t="n">
        <f aca="false">0/$P$3</f>
        <v>0</v>
      </c>
      <c r="R11" s="14" t="n">
        <v>0.928899082568807</v>
      </c>
      <c r="S11" s="15" t="n">
        <f aca="false">0/$R$3</f>
        <v>0</v>
      </c>
      <c r="T11" s="14" t="n">
        <v>0.906829535961151</v>
      </c>
      <c r="U11" s="14" t="n">
        <v>0.915742745858581</v>
      </c>
      <c r="V11" s="15" t="n">
        <f aca="false">0/$T$3</f>
        <v>0</v>
      </c>
      <c r="W11" s="14" t="n">
        <v>0.76056338028169</v>
      </c>
      <c r="X11" s="15" t="n">
        <f aca="false">0/$W$3</f>
        <v>0</v>
      </c>
    </row>
    <row r="12" customFormat="false" ht="12.65" hidden="false" customHeight="false" outlineLevel="0" collapsed="false">
      <c r="A12" s="16" t="s">
        <v>30</v>
      </c>
      <c r="B12" s="12" t="s">
        <v>31</v>
      </c>
      <c r="C12" s="13" t="n">
        <f aca="false">AVERAGE(W12,T12:U12,R12,P12,N12,M12,K12,H12,I12,F12,D12)</f>
        <v>0.791332799953183</v>
      </c>
      <c r="D12" s="14" t="n">
        <v>0.579239752168342</v>
      </c>
      <c r="E12" s="15" t="n">
        <f aca="false">1/$D$3</f>
        <v>0.000958772770853308</v>
      </c>
      <c r="F12" s="14" t="n">
        <v>0.360570555272542</v>
      </c>
      <c r="G12" s="15" t="n">
        <f aca="false">0/$F$3</f>
        <v>0</v>
      </c>
      <c r="H12" s="14" t="n">
        <v>0.781862745098039</v>
      </c>
      <c r="I12" s="14" t="n">
        <v>0.855284552845528</v>
      </c>
      <c r="J12" s="15" t="n">
        <f aca="false">0/$H$3</f>
        <v>0</v>
      </c>
      <c r="K12" s="14" t="n">
        <v>0.877539813289401</v>
      </c>
      <c r="L12" s="15" t="n">
        <f aca="false">0/$K$3</f>
        <v>0</v>
      </c>
      <c r="M12" s="14" t="n">
        <v>0.823546871135296</v>
      </c>
      <c r="N12" s="14" t="n">
        <v>0.791805288040623</v>
      </c>
      <c r="O12" s="15" t="n">
        <f aca="false">0/$M$3</f>
        <v>0</v>
      </c>
      <c r="P12" s="14" t="n">
        <v>0.873646209386282</v>
      </c>
      <c r="Q12" s="15" t="n">
        <f aca="false">0/$P$3</f>
        <v>0</v>
      </c>
      <c r="R12" s="14" t="n">
        <v>0.93348623853211</v>
      </c>
      <c r="S12" s="15" t="n">
        <f aca="false">0/$R$3</f>
        <v>0</v>
      </c>
      <c r="T12" s="14" t="n">
        <v>0.892046375480391</v>
      </c>
      <c r="U12" s="14" t="n">
        <v>0.895979282696688</v>
      </c>
      <c r="V12" s="15" t="n">
        <f aca="false">0/$T$3</f>
        <v>0</v>
      </c>
      <c r="W12" s="14" t="n">
        <v>0.830985915492958</v>
      </c>
      <c r="X12" s="15" t="n">
        <f aca="false">0/$W$3</f>
        <v>0</v>
      </c>
    </row>
    <row r="13" customFormat="false" ht="12.65" hidden="false" customHeight="false" outlineLevel="0" collapsed="false">
      <c r="A13" s="16" t="s">
        <v>32</v>
      </c>
      <c r="B13" s="12" t="s">
        <v>33</v>
      </c>
      <c r="C13" s="13" t="n">
        <f aca="false">AVERAGE(W13,T13:U13,R13,P13,N13,M13,K13,H13,I13,F13,D13)</f>
        <v>0.789320510082497</v>
      </c>
      <c r="D13" s="14" t="n">
        <v>0.640303756020364</v>
      </c>
      <c r="E13" s="15" t="n">
        <f aca="false">0/$D$3</f>
        <v>0</v>
      </c>
      <c r="F13" s="14" t="n">
        <v>0.393886907794193</v>
      </c>
      <c r="G13" s="15" t="n">
        <f aca="false">0/$F$3</f>
        <v>0</v>
      </c>
      <c r="H13" s="14" t="n">
        <v>0.730392156862745</v>
      </c>
      <c r="I13" s="14" t="n">
        <v>0.798534798534799</v>
      </c>
      <c r="J13" s="15" t="n">
        <f aca="false">0/$H$3</f>
        <v>0</v>
      </c>
      <c r="K13" s="14" t="n">
        <v>0.822624931356398</v>
      </c>
      <c r="L13" s="15" t="n">
        <f aca="false">0/$K$3</f>
        <v>0</v>
      </c>
      <c r="M13" s="14" t="n">
        <v>0.835023497402919</v>
      </c>
      <c r="N13" s="14" t="n">
        <v>0.771434445891303</v>
      </c>
      <c r="O13" s="15" t="n">
        <f aca="false">0/$M$3</f>
        <v>0</v>
      </c>
      <c r="P13" s="14" t="n">
        <v>0.888086642599278</v>
      </c>
      <c r="Q13" s="15" t="n">
        <f aca="false">0/$P$3</f>
        <v>0</v>
      </c>
      <c r="R13" s="14" t="n">
        <v>0.927752293577982</v>
      </c>
      <c r="S13" s="15" t="n">
        <f aca="false">0/$R$3</f>
        <v>0</v>
      </c>
      <c r="T13" s="14" t="n">
        <v>0.894225001335144</v>
      </c>
      <c r="U13" s="14" t="n">
        <v>0.89634225299512</v>
      </c>
      <c r="V13" s="15" t="n">
        <f aca="false">0/$T$3</f>
        <v>0</v>
      </c>
      <c r="W13" s="14" t="n">
        <v>0.873239436619718</v>
      </c>
      <c r="X13" s="15" t="n">
        <f aca="false">0/$W$3</f>
        <v>0</v>
      </c>
    </row>
    <row r="14" customFormat="false" ht="12.65" hidden="false" customHeight="false" outlineLevel="0" collapsed="false">
      <c r="A14" s="16" t="s">
        <v>34</v>
      </c>
      <c r="B14" s="12" t="s">
        <v>35</v>
      </c>
      <c r="C14" s="13" t="n">
        <f aca="false">AVERAGE(W14,T14:U14,R14,P14,N14,M14,K14,H14,I14,F14,D14)</f>
        <v>0.788062668883991</v>
      </c>
      <c r="D14" s="14" t="n">
        <v>0.487457290708985</v>
      </c>
      <c r="E14" s="15" t="n">
        <f aca="false">1/$D$3</f>
        <v>0.000958772770853308</v>
      </c>
      <c r="F14" s="14" t="n">
        <v>0.438920020376974</v>
      </c>
      <c r="G14" s="15" t="n">
        <f aca="false">0/$F$3</f>
        <v>0</v>
      </c>
      <c r="H14" s="14" t="n">
        <v>0.825980392156863</v>
      </c>
      <c r="I14" s="14" t="n">
        <v>0.874336283185841</v>
      </c>
      <c r="J14" s="15" t="n">
        <f aca="false">0/$H$3</f>
        <v>0</v>
      </c>
      <c r="K14" s="14" t="n">
        <v>0.891268533772652</v>
      </c>
      <c r="L14" s="15" t="n">
        <f aca="false">0/$K$3</f>
        <v>0</v>
      </c>
      <c r="M14" s="14" t="n">
        <v>0.829581993569132</v>
      </c>
      <c r="N14" s="14" t="n">
        <v>0.786488999070344</v>
      </c>
      <c r="O14" s="15" t="n">
        <f aca="false">0/$M$3</f>
        <v>0</v>
      </c>
      <c r="P14" s="14" t="n">
        <v>0.819494584837545</v>
      </c>
      <c r="Q14" s="15" t="n">
        <f aca="false">0/$P$3</f>
        <v>0</v>
      </c>
      <c r="R14" s="14" t="n">
        <v>0.950688073394496</v>
      </c>
      <c r="S14" s="15" t="n">
        <f aca="false">0/$R$3</f>
        <v>0</v>
      </c>
      <c r="T14" s="14" t="n">
        <v>0.863680137923041</v>
      </c>
      <c r="U14" s="14" t="n">
        <v>0.871954309161318</v>
      </c>
      <c r="V14" s="15" t="n">
        <f aca="false">0/$T$3</f>
        <v>0</v>
      </c>
      <c r="W14" s="14" t="n">
        <v>0.816901408450704</v>
      </c>
      <c r="X14" s="15" t="n">
        <f aca="false">0/$W$3</f>
        <v>0</v>
      </c>
    </row>
    <row r="15" customFormat="false" ht="12.65" hidden="false" customHeight="false" outlineLevel="0" collapsed="false">
      <c r="A15" s="16" t="s">
        <v>36</v>
      </c>
      <c r="B15" s="12" t="s">
        <v>37</v>
      </c>
      <c r="C15" s="13" t="n">
        <f aca="false">AVERAGE(W15,T15:U15,R15,P15,N15,M15,K15,H15,I15,F15,D15)</f>
        <v>0.779541622537469</v>
      </c>
      <c r="D15" s="14" t="n">
        <v>0.592121670308154</v>
      </c>
      <c r="E15" s="15" t="n">
        <f aca="false">1/$D$3</f>
        <v>0.000958772770853308</v>
      </c>
      <c r="F15" s="14" t="n">
        <v>0.351299032093734</v>
      </c>
      <c r="G15" s="15" t="n">
        <f aca="false">0/$F$3</f>
        <v>0</v>
      </c>
      <c r="H15" s="14" t="n">
        <v>0.767156862745098</v>
      </c>
      <c r="I15" s="14" t="n">
        <v>0.816955684007707</v>
      </c>
      <c r="J15" s="15" t="n">
        <f aca="false">0/$H$3</f>
        <v>0</v>
      </c>
      <c r="K15" s="14" t="n">
        <v>0.894197327475746</v>
      </c>
      <c r="L15" s="15" t="n">
        <f aca="false">0/$K$3</f>
        <v>0</v>
      </c>
      <c r="M15" s="14" t="n">
        <v>0.814914667326243</v>
      </c>
      <c r="N15" s="14" t="n">
        <v>0.772172324554727</v>
      </c>
      <c r="O15" s="15" t="n">
        <f aca="false">0/$M$3</f>
        <v>0</v>
      </c>
      <c r="P15" s="14" t="n">
        <v>0.88086642599278</v>
      </c>
      <c r="Q15" s="15" t="n">
        <f aca="false">0/$P$3</f>
        <v>0</v>
      </c>
      <c r="R15" s="14" t="n">
        <v>0.942660550458716</v>
      </c>
      <c r="S15" s="15" t="n">
        <f aca="false">0/$R$3</f>
        <v>0</v>
      </c>
      <c r="T15" s="14" t="n">
        <v>0.85733495291754</v>
      </c>
      <c r="U15" s="14" t="n">
        <v>0.876087578202987</v>
      </c>
      <c r="V15" s="15" t="n">
        <f aca="false">0/$T$3</f>
        <v>0</v>
      </c>
      <c r="W15" s="14" t="n">
        <v>0.788732394366197</v>
      </c>
      <c r="X15" s="15" t="n">
        <f aca="false">0/$W$3</f>
        <v>0</v>
      </c>
    </row>
    <row r="16" customFormat="false" ht="12.65" hidden="false" customHeight="false" outlineLevel="0" collapsed="false">
      <c r="A16" s="16" t="s">
        <v>38</v>
      </c>
      <c r="B16" s="12" t="s">
        <v>39</v>
      </c>
      <c r="C16" s="13" t="n">
        <f aca="false">AVERAGE(W16,T16:U16,R16,P16,N16,M16,K16,H16,I16,F16,D16)</f>
        <v>0.776669674540026</v>
      </c>
      <c r="D16" s="14" t="n">
        <v>0.520634485006823</v>
      </c>
      <c r="E16" s="15" t="n">
        <f aca="false">0/$D$3</f>
        <v>0</v>
      </c>
      <c r="F16" s="14" t="n">
        <v>0.45272060321989</v>
      </c>
      <c r="G16" s="15" t="n">
        <f aca="false">1/$F$3</f>
        <v>0.000101884870096791</v>
      </c>
      <c r="H16" s="14" t="n">
        <v>0.769607843137255</v>
      </c>
      <c r="I16" s="14" t="n">
        <v>0.841216216216216</v>
      </c>
      <c r="J16" s="15" t="n">
        <f aca="false">0/$H$3</f>
        <v>0</v>
      </c>
      <c r="K16" s="14" t="n">
        <v>0.946851851851852</v>
      </c>
      <c r="L16" s="15" t="n">
        <f aca="false">63/$K$3</f>
        <v>0.0115321252059308</v>
      </c>
      <c r="M16" s="14" t="n">
        <v>0.849398485073518</v>
      </c>
      <c r="N16" s="14" t="n">
        <v>0.788632573652029</v>
      </c>
      <c r="O16" s="15" t="n">
        <f aca="false">32/$M$3</f>
        <v>0.000791491466732624</v>
      </c>
      <c r="P16" s="14" t="n">
        <v>0.472924187725632</v>
      </c>
      <c r="Q16" s="15" t="n">
        <f aca="false">0/$P$3</f>
        <v>0</v>
      </c>
      <c r="R16" s="14" t="n">
        <v>0.964449541284404</v>
      </c>
      <c r="S16" s="15" t="n">
        <f aca="false">0/$R$3</f>
        <v>0</v>
      </c>
      <c r="T16" s="14" t="n">
        <v>0.90406209230423</v>
      </c>
      <c r="U16" s="14" t="n">
        <v>0.908129764304242</v>
      </c>
      <c r="V16" s="15" t="n">
        <f aca="false">0/$T$3</f>
        <v>0</v>
      </c>
      <c r="W16" s="14" t="n">
        <v>0.901408450704225</v>
      </c>
      <c r="X16" s="15" t="n">
        <f aca="false">0/$W$3</f>
        <v>0</v>
      </c>
    </row>
    <row r="17" customFormat="false" ht="12.65" hidden="false" customHeight="false" outlineLevel="0" collapsed="false">
      <c r="A17" s="16" t="s">
        <v>40</v>
      </c>
      <c r="B17" s="12" t="s">
        <v>41</v>
      </c>
      <c r="C17" s="13" t="n">
        <f aca="false">AVERAGE(W17,T17:U17,R17,P17,N17,M17,K17,H17,I17,F17,D17)</f>
        <v>0.761759832782204</v>
      </c>
      <c r="D17" s="14" t="n">
        <v>0.597514874790058</v>
      </c>
      <c r="E17" s="15" t="n">
        <f aca="false">1/$D$3</f>
        <v>0.000958772770853308</v>
      </c>
      <c r="F17" s="14" t="n">
        <v>0.478247580234335</v>
      </c>
      <c r="G17" s="15" t="n">
        <f aca="false">0/$F$3</f>
        <v>0</v>
      </c>
      <c r="H17" s="14" t="n">
        <v>0.757352941176471</v>
      </c>
      <c r="I17" s="14" t="n">
        <v>0.834170854271357</v>
      </c>
      <c r="J17" s="15" t="n">
        <f aca="false">0/$H$3</f>
        <v>0</v>
      </c>
      <c r="K17" s="14" t="n">
        <v>0.767975055025679</v>
      </c>
      <c r="L17" s="15" t="n">
        <f aca="false">11/$K$3</f>
        <v>0.00201354567087681</v>
      </c>
      <c r="M17" s="14" t="n">
        <v>0.824560969577047</v>
      </c>
      <c r="N17" s="14" t="n">
        <v>0.785041064339182</v>
      </c>
      <c r="O17" s="15" t="n">
        <f aca="false">0/$M$3</f>
        <v>0</v>
      </c>
      <c r="P17" s="14" t="n">
        <v>0.746376811594203</v>
      </c>
      <c r="Q17" s="15" t="n">
        <f aca="false">1/$P$3</f>
        <v>0.0036101083032491</v>
      </c>
      <c r="R17" s="14" t="n">
        <v>0.95752009184845</v>
      </c>
      <c r="S17" s="15" t="n">
        <f aca="false">1/$R$3</f>
        <v>0.00114678899082569</v>
      </c>
      <c r="T17" s="14" t="n">
        <v>0.87058607341487</v>
      </c>
      <c r="U17" s="14" t="n">
        <v>0.873884353171137</v>
      </c>
      <c r="V17" s="15" t="n">
        <f aca="false">0/$T$3</f>
        <v>0</v>
      </c>
      <c r="W17" s="14" t="n">
        <v>0.647887323943662</v>
      </c>
      <c r="X17" s="15" t="n">
        <f aca="false">0/$W$3</f>
        <v>0</v>
      </c>
    </row>
    <row r="18" customFormat="false" ht="12.65" hidden="false" customHeight="false" outlineLevel="0" collapsed="false">
      <c r="A18" s="16" t="s">
        <v>42</v>
      </c>
      <c r="B18" s="12" t="s">
        <v>43</v>
      </c>
      <c r="C18" s="13" t="n">
        <f aca="false">AVERAGE(W18,T18:U18,R18,P18,N18,M18,K18,H18,I18,F18,D18)</f>
        <v>0.740393758714782</v>
      </c>
      <c r="D18" s="14" t="n">
        <v>0.526754313381707</v>
      </c>
      <c r="E18" s="15" t="n">
        <f aca="false">0/$D$3</f>
        <v>0</v>
      </c>
      <c r="F18" s="14" t="n">
        <v>0.418644931227713</v>
      </c>
      <c r="G18" s="15" t="n">
        <f aca="false">0/$F$3</f>
        <v>0</v>
      </c>
      <c r="H18" s="14" t="n">
        <v>0.737745098039216</v>
      </c>
      <c r="I18" s="14" t="n">
        <v>0.820770519262982</v>
      </c>
      <c r="J18" s="15" t="n">
        <f aca="false">0/$H$3</f>
        <v>0</v>
      </c>
      <c r="K18" s="14" t="n">
        <v>0.833424858136555</v>
      </c>
      <c r="L18" s="15" t="n">
        <f aca="false">0/$K$3</f>
        <v>0</v>
      </c>
      <c r="M18" s="14" t="n">
        <v>0.765767994063814</v>
      </c>
      <c r="N18" s="14" t="n">
        <v>0.742172610944732</v>
      </c>
      <c r="O18" s="15" t="n">
        <f aca="false">0/$M$3</f>
        <v>0</v>
      </c>
      <c r="P18" s="14" t="n">
        <v>0.84115523465704</v>
      </c>
      <c r="Q18" s="15" t="n">
        <f aca="false">0/$P$3</f>
        <v>0</v>
      </c>
      <c r="R18" s="14" t="n">
        <v>0.940366972477064</v>
      </c>
      <c r="S18" s="15" t="n">
        <f aca="false">0/$R$3</f>
        <v>0</v>
      </c>
      <c r="T18" s="14" t="n">
        <v>0.767106912789686</v>
      </c>
      <c r="U18" s="14" t="n">
        <v>0.772505800441942</v>
      </c>
      <c r="V18" s="15" t="n">
        <f aca="false">0/$T$3</f>
        <v>0</v>
      </c>
      <c r="W18" s="14" t="n">
        <v>0.71830985915493</v>
      </c>
      <c r="X18" s="15" t="n">
        <f aca="false">0/$W$3</f>
        <v>0</v>
      </c>
    </row>
    <row r="19" customFormat="false" ht="12.65" hidden="false" customHeight="false" outlineLevel="0" collapsed="false">
      <c r="A19" s="16" t="s">
        <v>44</v>
      </c>
      <c r="B19" s="12" t="s">
        <v>45</v>
      </c>
      <c r="C19" s="13" t="n">
        <f aca="false">AVERAGE(W19,T19:U19,R19,P19,N19,M19,K19,H19,I19,F19,D19)</f>
        <v>0.728207755738953</v>
      </c>
      <c r="D19" s="14" t="n">
        <v>0.417240141074992</v>
      </c>
      <c r="E19" s="15" t="n">
        <f aca="false">1/$D$3</f>
        <v>0.000958772770853308</v>
      </c>
      <c r="F19" s="14" t="n">
        <v>0.315944982170148</v>
      </c>
      <c r="G19" s="15" t="n">
        <f aca="false">0/$F$3</f>
        <v>0</v>
      </c>
      <c r="H19" s="14" t="n">
        <v>0.779411764705882</v>
      </c>
      <c r="I19" s="14" t="n">
        <v>0.84375</v>
      </c>
      <c r="J19" s="15" t="n">
        <f aca="false">0/$H$3</f>
        <v>0</v>
      </c>
      <c r="K19" s="14" t="n">
        <v>0.733088909257562</v>
      </c>
      <c r="L19" s="15" t="n">
        <f aca="false">8/$K$3</f>
        <v>0.00146439685154677</v>
      </c>
      <c r="M19" s="14" t="n">
        <v>0.814964135542914</v>
      </c>
      <c r="N19" s="14" t="n">
        <v>0.753954941621444</v>
      </c>
      <c r="O19" s="15" t="n">
        <f aca="false">0/$M$3</f>
        <v>0</v>
      </c>
      <c r="P19" s="14" t="n">
        <v>0.707581227436823</v>
      </c>
      <c r="Q19" s="15" t="n">
        <f aca="false">0/$P$3</f>
        <v>0</v>
      </c>
      <c r="R19" s="14" t="n">
        <v>0.907110091743119</v>
      </c>
      <c r="S19" s="15" t="n">
        <f aca="false">0/$R$3</f>
        <v>0</v>
      </c>
      <c r="T19" s="14" t="n">
        <v>0.817610857364514</v>
      </c>
      <c r="U19" s="14" t="n">
        <v>0.830934609499328</v>
      </c>
      <c r="V19" s="15" t="n">
        <f aca="false">0/$T$3</f>
        <v>0</v>
      </c>
      <c r="W19" s="14" t="n">
        <v>0.816901408450704</v>
      </c>
      <c r="X19" s="15" t="n">
        <f aca="false">0/$W$3</f>
        <v>0</v>
      </c>
    </row>
    <row r="20" customFormat="false" ht="12.65" hidden="false" customHeight="false" outlineLevel="0" collapsed="false">
      <c r="A20" s="16" t="s">
        <v>46</v>
      </c>
      <c r="B20" s="12" t="s">
        <v>47</v>
      </c>
      <c r="C20" s="13" t="n">
        <f aca="false">AVERAGE(W20,T20:U20,R20,P20,N20,M20,K20,H20,I20,F20,D20)</f>
        <v>0.724682698414345</v>
      </c>
      <c r="D20" s="14" t="n">
        <v>0.64468019375246</v>
      </c>
      <c r="E20" s="15" t="n">
        <f aca="false">1/$D$3</f>
        <v>0.000958772770853308</v>
      </c>
      <c r="F20" s="14" t="n">
        <v>0.436678553234845</v>
      </c>
      <c r="G20" s="15" t="n">
        <f aca="false">0/$F$3</f>
        <v>0</v>
      </c>
      <c r="H20" s="14" t="n">
        <v>0.735294117647059</v>
      </c>
      <c r="I20" s="14" t="n">
        <v>0.7890625</v>
      </c>
      <c r="J20" s="15" t="n">
        <f aca="false">0/$H$3</f>
        <v>0</v>
      </c>
      <c r="K20" s="14" t="n">
        <v>0.850448471535786</v>
      </c>
      <c r="L20" s="15" t="n">
        <f aca="false">0/$K$3</f>
        <v>0</v>
      </c>
      <c r="M20" s="14" t="n">
        <v>0.817338609943112</v>
      </c>
      <c r="N20" s="14" t="n">
        <v>0.756984435157458</v>
      </c>
      <c r="O20" s="15" t="n">
        <f aca="false">0/$M$3</f>
        <v>0</v>
      </c>
      <c r="P20" s="14" t="n">
        <v>0.574007220216607</v>
      </c>
      <c r="Q20" s="15" t="n">
        <f aca="false">0/$P$3</f>
        <v>0</v>
      </c>
      <c r="R20" s="14" t="n">
        <v>0.938073394495413</v>
      </c>
      <c r="S20" s="15" t="n">
        <f aca="false">0/$R$3</f>
        <v>0</v>
      </c>
      <c r="T20" s="14" t="n">
        <v>0.719635963439941</v>
      </c>
      <c r="U20" s="14" t="n">
        <v>0.772017090563542</v>
      </c>
      <c r="V20" s="15" t="n">
        <f aca="false">0/$T$3</f>
        <v>0</v>
      </c>
      <c r="W20" s="14" t="n">
        <v>0.661971830985916</v>
      </c>
      <c r="X20" s="15" t="n">
        <f aca="false">0/$W$3</f>
        <v>0</v>
      </c>
    </row>
    <row r="21" customFormat="false" ht="12.65" hidden="false" customHeight="false" outlineLevel="0" collapsed="false">
      <c r="A21" s="16" t="s">
        <v>48</v>
      </c>
      <c r="B21" s="12" t="s">
        <v>49</v>
      </c>
      <c r="C21" s="13" t="n">
        <f aca="false">AVERAGE(W21,T21:U21,R21,P21,N21,M21,K21,H21,I21,F21,D21)</f>
        <v>0.723374373278101</v>
      </c>
      <c r="D21" s="14" t="n">
        <v>0.451542212782268</v>
      </c>
      <c r="E21" s="15" t="n">
        <f aca="false">1/$D$3</f>
        <v>0.000958772770853308</v>
      </c>
      <c r="F21" s="14" t="n">
        <v>0.462964849719817</v>
      </c>
      <c r="G21" s="15" t="n">
        <f aca="false">0/$F$3</f>
        <v>0</v>
      </c>
      <c r="H21" s="14" t="n">
        <v>0.801470588235294</v>
      </c>
      <c r="I21" s="14" t="n">
        <v>0.850828729281768</v>
      </c>
      <c r="J21" s="15" t="n">
        <f aca="false">0/$H$3</f>
        <v>0</v>
      </c>
      <c r="K21" s="14" t="n">
        <v>0.8555738605162</v>
      </c>
      <c r="L21" s="15" t="n">
        <f aca="false">0/$K$3</f>
        <v>0</v>
      </c>
      <c r="M21" s="14" t="n">
        <v>0.822681177343557</v>
      </c>
      <c r="N21" s="14" t="n">
        <v>0.777062536928196</v>
      </c>
      <c r="O21" s="15" t="n">
        <f aca="false">0/$M$3</f>
        <v>0</v>
      </c>
      <c r="P21" s="14" t="n">
        <v>0.317689530685921</v>
      </c>
      <c r="Q21" s="15" t="n">
        <f aca="false">0/$P$3</f>
        <v>0</v>
      </c>
      <c r="R21" s="14" t="n">
        <v>0.951834862385321</v>
      </c>
      <c r="S21" s="15" t="n">
        <f aca="false">0/$R$3</f>
        <v>0</v>
      </c>
      <c r="T21" s="14" t="n">
        <v>0.831672916702132</v>
      </c>
      <c r="U21" s="14" t="n">
        <v>0.838861355601802</v>
      </c>
      <c r="V21" s="15" t="n">
        <f aca="false">0/$T$3</f>
        <v>0</v>
      </c>
      <c r="W21" s="14" t="n">
        <v>0.71830985915493</v>
      </c>
      <c r="X21" s="15" t="n">
        <f aca="false">0/$W$3</f>
        <v>0</v>
      </c>
    </row>
    <row r="22" customFormat="false" ht="12.65" hidden="false" customHeight="false" outlineLevel="0" collapsed="false">
      <c r="A22" s="17" t="s">
        <v>50</v>
      </c>
      <c r="B22" s="18" t="s">
        <v>51</v>
      </c>
      <c r="C22" s="13" t="n">
        <f aca="false">AVERAGE(W22,T22:U22,R22,P22,N22,M22,K22,H22,I22,F22,D22)</f>
        <v>0.721971819161523</v>
      </c>
      <c r="D22" s="14" t="n">
        <v>0.529749879959722</v>
      </c>
      <c r="E22" s="15" t="n">
        <f aca="false">0/$D$3</f>
        <v>0</v>
      </c>
      <c r="F22" s="19" t="n">
        <v>0.5015792154865</v>
      </c>
      <c r="G22" s="15" t="n">
        <f aca="false">0/$F$3</f>
        <v>0</v>
      </c>
      <c r="H22" s="14" t="n">
        <v>0.759803921568627</v>
      </c>
      <c r="I22" s="14" t="n">
        <v>0.841935483870968</v>
      </c>
      <c r="J22" s="15" t="n">
        <f aca="false">0/$H$3</f>
        <v>0</v>
      </c>
      <c r="K22" s="14" t="n">
        <v>0.761968594408273</v>
      </c>
      <c r="L22" s="15" t="n">
        <f aca="false">241/$K$3</f>
        <v>0.0441149551528464</v>
      </c>
      <c r="M22" s="14" t="n">
        <v>0.786346772198862</v>
      </c>
      <c r="N22" s="14" t="n">
        <v>0.73941112585978</v>
      </c>
      <c r="O22" s="15" t="n">
        <f aca="false">0/$M$3</f>
        <v>0</v>
      </c>
      <c r="P22" s="14" t="n">
        <v>0.677536231884058</v>
      </c>
      <c r="Q22" s="15" t="n">
        <f aca="false">1/$P$3</f>
        <v>0.0036101083032491</v>
      </c>
      <c r="R22" s="14" t="n">
        <v>0.938073394495413</v>
      </c>
      <c r="S22" s="15" t="n">
        <f aca="false">0/$R$3</f>
        <v>0</v>
      </c>
      <c r="T22" s="14" t="n">
        <v>0.766607642173767</v>
      </c>
      <c r="U22" s="14" t="n">
        <v>0.769100272257662</v>
      </c>
      <c r="V22" s="15" t="n">
        <f aca="false">0/$T$3</f>
        <v>0</v>
      </c>
      <c r="W22" s="14" t="n">
        <v>0.591549295774648</v>
      </c>
      <c r="X22" s="15" t="n">
        <f aca="false">0/$W$3</f>
        <v>0</v>
      </c>
    </row>
    <row r="23" customFormat="false" ht="12.65" hidden="false" customHeight="false" outlineLevel="0" collapsed="false">
      <c r="A23" s="16" t="s">
        <v>52</v>
      </c>
      <c r="B23" s="12" t="s">
        <v>53</v>
      </c>
      <c r="C23" s="13" t="n">
        <f aca="false">AVERAGE(W23,T23:U23,R23,P23,N23,M23,K23,H23,I23,F23,D23)</f>
        <v>0.71588881644893</v>
      </c>
      <c r="D23" s="14" t="n">
        <v>0.618527281006798</v>
      </c>
      <c r="E23" s="15" t="n">
        <f aca="false">1/$D$3</f>
        <v>0.000958772770853308</v>
      </c>
      <c r="F23" s="14" t="n">
        <v>0.388588894549159</v>
      </c>
      <c r="G23" s="15" t="n">
        <f aca="false">0/$F$3</f>
        <v>0</v>
      </c>
      <c r="H23" s="14" t="n">
        <v>0.754901960784314</v>
      </c>
      <c r="I23" s="14" t="n">
        <v>0.841269841269841</v>
      </c>
      <c r="J23" s="15" t="n">
        <f aca="false">0/$H$3</f>
        <v>0</v>
      </c>
      <c r="K23" s="14" t="n">
        <v>0.468423942888523</v>
      </c>
      <c r="L23" s="15" t="n">
        <f aca="false">0/$K$3</f>
        <v>0</v>
      </c>
      <c r="M23" s="14" t="n">
        <v>0.804551075933713</v>
      </c>
      <c r="N23" s="14" t="n">
        <v>0.772224143894846</v>
      </c>
      <c r="O23" s="15" t="n">
        <f aca="false">0/$M$3</f>
        <v>0</v>
      </c>
      <c r="P23" s="14" t="n">
        <v>0.407942238267148</v>
      </c>
      <c r="Q23" s="15" t="n">
        <f aca="false">0/$P$3</f>
        <v>0</v>
      </c>
      <c r="R23" s="14" t="n">
        <v>0.939220183486239</v>
      </c>
      <c r="S23" s="15" t="n">
        <f aca="false">0/$R$3</f>
        <v>0</v>
      </c>
      <c r="T23" s="14" t="n">
        <v>0.878811589487953</v>
      </c>
      <c r="U23" s="14" t="n">
        <v>0.885218730325664</v>
      </c>
      <c r="V23" s="15" t="n">
        <f aca="false">0/$T$3</f>
        <v>0</v>
      </c>
      <c r="W23" s="14" t="n">
        <v>0.830985915492958</v>
      </c>
      <c r="X23" s="15" t="n">
        <f aca="false">0/$W$3</f>
        <v>0</v>
      </c>
    </row>
    <row r="24" customFormat="false" ht="12.65" hidden="false" customHeight="false" outlineLevel="0" collapsed="false">
      <c r="A24" s="1" t="s">
        <v>54</v>
      </c>
      <c r="B24" s="12" t="s">
        <v>55</v>
      </c>
      <c r="C24" s="13" t="n">
        <f aca="false">AVERAGE(W24,T24:U24,R24,P24,N24,M24,K24,H24,I24,F24,D24)</f>
        <v>0.710090736531108</v>
      </c>
      <c r="D24" s="14" t="n">
        <v>0.529794803332249</v>
      </c>
      <c r="E24" s="15" t="n">
        <f aca="false">2/$D$3</f>
        <v>0.00191754554170662</v>
      </c>
      <c r="F24" s="14" t="n">
        <v>0.396649309486077</v>
      </c>
      <c r="G24" s="15" t="n">
        <f aca="false">981/$F$3</f>
        <v>0.0999490575649516</v>
      </c>
      <c r="H24" s="14" t="n">
        <v>0.742647058823529</v>
      </c>
      <c r="I24" s="14" t="n">
        <v>0.809437386569873</v>
      </c>
      <c r="J24" s="15" t="n">
        <f aca="false">0/$H$3</f>
        <v>0</v>
      </c>
      <c r="K24" s="14" t="n">
        <v>0.558498896247241</v>
      </c>
      <c r="L24" s="15" t="n">
        <f aca="false">27/$K$3</f>
        <v>0.00494233937397035</v>
      </c>
      <c r="M24" s="14" t="n">
        <v>0.836651908283658</v>
      </c>
      <c r="N24" s="14" t="n">
        <v>0.780889183808892</v>
      </c>
      <c r="O24" s="15" t="n">
        <f aca="false">1/$M$3</f>
        <v>2.47341083353945E-005</v>
      </c>
      <c r="P24" s="14" t="n">
        <v>0.472924187725632</v>
      </c>
      <c r="Q24" s="15" t="n">
        <f aca="false">0/$P$3</f>
        <v>0</v>
      </c>
      <c r="R24" s="14" t="n">
        <v>0.926521239954076</v>
      </c>
      <c r="S24" s="15" t="n">
        <f aca="false">1/$R$3</f>
        <v>0.00114678899082569</v>
      </c>
      <c r="T24" s="14" t="n">
        <v>0.862933039665222</v>
      </c>
      <c r="U24" s="14" t="n">
        <v>0.871747458279668</v>
      </c>
      <c r="V24" s="15" t="n">
        <f aca="false">0/$T$3</f>
        <v>0</v>
      </c>
      <c r="W24" s="14" t="n">
        <v>0.732394366197183</v>
      </c>
      <c r="X24" s="15" t="n">
        <f aca="false">0/$W$3</f>
        <v>0</v>
      </c>
    </row>
    <row r="25" customFormat="false" ht="12.65" hidden="false" customHeight="false" outlineLevel="0" collapsed="false">
      <c r="A25" s="16" t="s">
        <v>56</v>
      </c>
      <c r="B25" s="12" t="s">
        <v>57</v>
      </c>
      <c r="C25" s="13" t="n">
        <f aca="false">AVERAGE(W25,T25:U25,R25,P25,N25,M25,K25,H25,I25,F25,D25)</f>
        <v>0.704245669484917</v>
      </c>
      <c r="D25" s="14" t="n">
        <v>0.61400038680535</v>
      </c>
      <c r="E25" s="15" t="n">
        <f aca="false">3/$D$3</f>
        <v>0.00287631831255992</v>
      </c>
      <c r="F25" s="14" t="n">
        <v>0.417524197656648</v>
      </c>
      <c r="G25" s="15" t="n">
        <f aca="false">0/$F$3</f>
        <v>0</v>
      </c>
      <c r="H25" s="14" t="n">
        <v>0.742647058823529</v>
      </c>
      <c r="I25" s="14" t="n">
        <v>0.837209302325581</v>
      </c>
      <c r="J25" s="15" t="n">
        <f aca="false">0/$H$3</f>
        <v>0</v>
      </c>
      <c r="K25" s="14" t="n">
        <v>0.317480719794344</v>
      </c>
      <c r="L25" s="15" t="n">
        <f aca="false">17/$K$3</f>
        <v>0.00311184330953688</v>
      </c>
      <c r="M25" s="14" t="n">
        <v>0.720652980460054</v>
      </c>
      <c r="N25" s="14" t="n">
        <v>0.719543084181773</v>
      </c>
      <c r="O25" s="15" t="n">
        <f aca="false">0/$M$3</f>
        <v>0</v>
      </c>
      <c r="P25" s="14" t="n">
        <v>0.68231046931408</v>
      </c>
      <c r="Q25" s="15" t="n">
        <f aca="false">0/$P$3</f>
        <v>0</v>
      </c>
      <c r="R25" s="14" t="n">
        <v>0.935779816513762</v>
      </c>
      <c r="S25" s="15" t="n">
        <f aca="false">0/$R$3</f>
        <v>0</v>
      </c>
      <c r="T25" s="14" t="n">
        <v>0.860305870097761</v>
      </c>
      <c r="U25" s="14" t="n">
        <v>0.871099781648942</v>
      </c>
      <c r="V25" s="15" t="n">
        <f aca="false">0/$T$3</f>
        <v>0</v>
      </c>
      <c r="W25" s="14" t="n">
        <v>0.732394366197183</v>
      </c>
      <c r="X25" s="15" t="n">
        <f aca="false">0/$W$3</f>
        <v>0</v>
      </c>
    </row>
    <row r="26" customFormat="false" ht="12.65" hidden="false" customHeight="false" outlineLevel="0" collapsed="false">
      <c r="A26" s="16" t="s">
        <v>58</v>
      </c>
      <c r="B26" s="12" t="s">
        <v>59</v>
      </c>
      <c r="C26" s="13" t="n">
        <f aca="false">AVERAGE(W26,T26:U26,R26,P26,N26,M26,K26,H26,I26,F26,D26)</f>
        <v>0.699391112337297</v>
      </c>
      <c r="D26" s="14" t="n">
        <v>0.625980868840778</v>
      </c>
      <c r="E26" s="15" t="n">
        <f aca="false">1/$D$3</f>
        <v>0.000958772770853308</v>
      </c>
      <c r="F26" s="14" t="n">
        <v>0.37493632195619</v>
      </c>
      <c r="G26" s="15" t="n">
        <f aca="false">0/$F$3</f>
        <v>0</v>
      </c>
      <c r="H26" s="14" t="n">
        <v>0.801470588235294</v>
      </c>
      <c r="I26" s="14" t="n">
        <v>0.86522462562396</v>
      </c>
      <c r="J26" s="15" t="n">
        <f aca="false">0/$H$3</f>
        <v>0</v>
      </c>
      <c r="K26" s="14" t="n">
        <v>0.438496791934006</v>
      </c>
      <c r="L26" s="15" t="n">
        <f aca="false">8/$K$3</f>
        <v>0.00146439685154677</v>
      </c>
      <c r="M26" s="14" t="n">
        <v>0.852128527963984</v>
      </c>
      <c r="N26" s="14" t="n">
        <v>0.805846053913608</v>
      </c>
      <c r="O26" s="15" t="n">
        <f aca="false">3/$M$3</f>
        <v>7.42023250061835E-005</v>
      </c>
      <c r="P26" s="14" t="n">
        <v>0.133574007220217</v>
      </c>
      <c r="Q26" s="15" t="n">
        <f aca="false">0/$P$3</f>
        <v>0</v>
      </c>
      <c r="R26" s="14" t="n">
        <v>0.930045871559633</v>
      </c>
      <c r="S26" s="15" t="n">
        <f aca="false">0/$R$3</f>
        <v>0</v>
      </c>
      <c r="T26" s="14" t="n">
        <v>0.886137481283129</v>
      </c>
      <c r="U26" s="14" t="n">
        <v>0.890119815150565</v>
      </c>
      <c r="V26" s="15" t="n">
        <f aca="false">0/$T$3</f>
        <v>0</v>
      </c>
      <c r="W26" s="14" t="n">
        <v>0.788732394366197</v>
      </c>
      <c r="X26" s="15" t="n">
        <f aca="false">0/$W$3</f>
        <v>0</v>
      </c>
    </row>
    <row r="27" customFormat="false" ht="12.65" hidden="false" customHeight="false" outlineLevel="0" collapsed="false">
      <c r="A27" s="16" t="s">
        <v>60</v>
      </c>
      <c r="B27" s="12" t="s">
        <v>61</v>
      </c>
      <c r="C27" s="13" t="n">
        <f aca="false">AVERAGE(W27,T27:U27,R27,P27,N27,M27,K27,H27,I27,F27,D27)</f>
        <v>0.658513623474907</v>
      </c>
      <c r="D27" s="14" t="n">
        <v>0.523854029130735</v>
      </c>
      <c r="E27" s="15" t="n">
        <f aca="false">3/$D$3</f>
        <v>0.00287631831255992</v>
      </c>
      <c r="F27" s="14" t="n">
        <v>0.480334216425515</v>
      </c>
      <c r="G27" s="15" t="n">
        <f aca="false">1/$F$3</f>
        <v>0.000101884870096791</v>
      </c>
      <c r="H27" s="14" t="n">
        <v>0.727941176470588</v>
      </c>
      <c r="I27" s="14" t="n">
        <v>0.821829855537721</v>
      </c>
      <c r="J27" s="15" t="n">
        <f aca="false">0/$H$3</f>
        <v>0</v>
      </c>
      <c r="K27" s="14" t="n">
        <v>0.696448187477115</v>
      </c>
      <c r="L27" s="15" t="n">
        <f aca="false">1/$K$3</f>
        <v>0.000183049606443346</v>
      </c>
      <c r="M27" s="14" t="n">
        <v>0.509271935283136</v>
      </c>
      <c r="N27" s="14" t="n">
        <v>0.593278732490252</v>
      </c>
      <c r="O27" s="15" t="n">
        <f aca="false">255/$M$3</f>
        <v>0.0063071976255256</v>
      </c>
      <c r="P27" s="14" t="n">
        <v>0.249097472924188</v>
      </c>
      <c r="Q27" s="15" t="n">
        <f aca="false">0/$P$3</f>
        <v>0</v>
      </c>
      <c r="R27" s="14" t="n">
        <v>0.934633027522936</v>
      </c>
      <c r="S27" s="15" t="n">
        <f aca="false">0/$R$3</f>
        <v>0</v>
      </c>
      <c r="T27" s="14" t="n">
        <v>0.821663265900952</v>
      </c>
      <c r="U27" s="14" t="n">
        <v>0.825501723380821</v>
      </c>
      <c r="V27" s="15" t="n">
        <f aca="false">0/$T$3</f>
        <v>0</v>
      </c>
      <c r="W27" s="14" t="n">
        <v>0.71830985915493</v>
      </c>
      <c r="X27" s="15" t="n">
        <f aca="false">0/$W$3</f>
        <v>0</v>
      </c>
    </row>
    <row r="28" customFormat="false" ht="12.65" hidden="false" customHeight="false" outlineLevel="0" collapsed="false">
      <c r="A28" s="16" t="s">
        <v>62</v>
      </c>
      <c r="B28" s="12" t="s">
        <v>63</v>
      </c>
      <c r="C28" s="13" t="n">
        <f aca="false">AVERAGE(W28,T28:U28,R28,P28,N28,M28,K28,H28,I28,F28,D28)</f>
        <v>0.653779197430066</v>
      </c>
      <c r="D28" s="14" t="n">
        <v>0.455627237079107</v>
      </c>
      <c r="E28" s="15" t="n">
        <f aca="false">1/$D$3</f>
        <v>0.000958772770853308</v>
      </c>
      <c r="F28" s="14" t="n">
        <v>0.386958736627611</v>
      </c>
      <c r="G28" s="15" t="n">
        <f aca="false">0/$F$3</f>
        <v>0</v>
      </c>
      <c r="H28" s="14" t="n">
        <v>0.754901960784314</v>
      </c>
      <c r="I28" s="14" t="n">
        <v>0.835526315789474</v>
      </c>
      <c r="J28" s="15" t="n">
        <f aca="false">0/$H$3</f>
        <v>0</v>
      </c>
      <c r="K28" s="14" t="n">
        <v>0.136371956800293</v>
      </c>
      <c r="L28" s="15" t="n">
        <f aca="false">0/$K$3</f>
        <v>0</v>
      </c>
      <c r="M28" s="14" t="n">
        <v>0.82352213702696</v>
      </c>
      <c r="N28" s="14" t="n">
        <v>0.77733046219143</v>
      </c>
      <c r="O28" s="15" t="n">
        <f aca="false">0/$M$3</f>
        <v>0</v>
      </c>
      <c r="P28" s="14" t="n">
        <v>0.353790613718412</v>
      </c>
      <c r="Q28" s="15" t="n">
        <f aca="false">0/$P$3</f>
        <v>0</v>
      </c>
      <c r="R28" s="14" t="n">
        <v>0.935779816513762</v>
      </c>
      <c r="S28" s="15" t="n">
        <f aca="false">0/$R$3</f>
        <v>0</v>
      </c>
      <c r="T28" s="14" t="n">
        <v>0.826388381403035</v>
      </c>
      <c r="U28" s="14" t="n">
        <v>0.840842892071465</v>
      </c>
      <c r="V28" s="15" t="n">
        <f aca="false">0/$T$3</f>
        <v>0</v>
      </c>
      <c r="W28" s="14" t="n">
        <v>0.71830985915493</v>
      </c>
      <c r="X28" s="15" t="n">
        <f aca="false">0/$W$3</f>
        <v>0</v>
      </c>
    </row>
    <row r="29" customFormat="false" ht="12.65" hidden="false" customHeight="false" outlineLevel="0" collapsed="false">
      <c r="A29" s="16" t="s">
        <v>64</v>
      </c>
      <c r="B29" s="12" t="s">
        <v>65</v>
      </c>
      <c r="C29" s="13" t="n">
        <f aca="false">AVERAGE(W29,T29:U29,R29,P29,N29,M29,K29,H29,I29,F29,D29)</f>
        <v>0.652461239815226</v>
      </c>
      <c r="D29" s="14" t="n">
        <v>0.536611172923759</v>
      </c>
      <c r="E29" s="15" t="n">
        <f aca="false">1/$D$3</f>
        <v>0.000958772770853308</v>
      </c>
      <c r="F29" s="14" t="n">
        <v>0.245542536933265</v>
      </c>
      <c r="G29" s="15" t="n">
        <f aca="false">0/$F$3</f>
        <v>0</v>
      </c>
      <c r="H29" s="14" t="n">
        <v>0.737745098039216</v>
      </c>
      <c r="I29" s="14" t="n">
        <v>0.83614088820827</v>
      </c>
      <c r="J29" s="15" t="n">
        <f aca="false">0/$H$3</f>
        <v>0</v>
      </c>
      <c r="K29" s="14" t="n">
        <v>0.822043207616258</v>
      </c>
      <c r="L29" s="15" t="n">
        <f aca="false">1/$K$3</f>
        <v>0.000183049606443346</v>
      </c>
      <c r="M29" s="14" t="n">
        <v>0.742622504761669</v>
      </c>
      <c r="N29" s="14" t="n">
        <v>0.724757294394625</v>
      </c>
      <c r="O29" s="15" t="n">
        <f aca="false">3/$M$3</f>
        <v>7.42023250061835E-005</v>
      </c>
      <c r="P29" s="14" t="n">
        <v>0.202166064981949</v>
      </c>
      <c r="Q29" s="15" t="n">
        <f aca="false">0/$P$3</f>
        <v>0</v>
      </c>
      <c r="R29" s="14" t="n">
        <v>0.926605504587156</v>
      </c>
      <c r="S29" s="15" t="n">
        <f aca="false">0/$R$3</f>
        <v>0</v>
      </c>
      <c r="T29" s="14" t="n">
        <v>0.724591970443726</v>
      </c>
      <c r="U29" s="14" t="n">
        <v>0.739159339118171</v>
      </c>
      <c r="V29" s="15" t="n">
        <f aca="false">1/$T$3</f>
        <v>0.000666666666666667</v>
      </c>
      <c r="W29" s="14" t="n">
        <v>0.591549295774648</v>
      </c>
      <c r="X29" s="15" t="n">
        <f aca="false">0/$W$3</f>
        <v>0</v>
      </c>
    </row>
    <row r="30" customFormat="false" ht="12.65" hidden="false" customHeight="false" outlineLevel="0" collapsed="false">
      <c r="A30" s="16" t="s">
        <v>66</v>
      </c>
      <c r="B30" s="12" t="s">
        <v>67</v>
      </c>
      <c r="C30" s="13" t="n">
        <f aca="false">AVERAGE(W30,T30:U30,R30,P30,N30,M30,K30,H30,I30,F30,D30)</f>
        <v>0.64108637065082</v>
      </c>
      <c r="D30" s="14" t="n">
        <v>0.531920773750409</v>
      </c>
      <c r="E30" s="15" t="n">
        <f aca="false">1/$D$3</f>
        <v>0.000958772770853308</v>
      </c>
      <c r="F30" s="14" t="n">
        <v>0.42985226693836</v>
      </c>
      <c r="G30" s="15" t="n">
        <f aca="false">0/$F$3</f>
        <v>0</v>
      </c>
      <c r="H30" s="14" t="n">
        <v>0.705882352941177</v>
      </c>
      <c r="I30" s="14" t="n">
        <v>0.82089552238806</v>
      </c>
      <c r="J30" s="15" t="n">
        <f aca="false">0/$H$3</f>
        <v>0</v>
      </c>
      <c r="K30" s="14" t="n">
        <v>0.540377220289324</v>
      </c>
      <c r="L30" s="15" t="n">
        <f aca="false">2/$K$3</f>
        <v>0.000366099212886692</v>
      </c>
      <c r="M30" s="14" t="n">
        <v>0.80123670541677</v>
      </c>
      <c r="N30" s="14" t="n">
        <v>0.772955868226253</v>
      </c>
      <c r="O30" s="15" t="n">
        <f aca="false">0/$M$3</f>
        <v>0</v>
      </c>
      <c r="P30" s="14" t="n">
        <v>0.296028880866426</v>
      </c>
      <c r="Q30" s="15" t="n">
        <f aca="false">0/$P$3</f>
        <v>0</v>
      </c>
      <c r="R30" s="14" t="n">
        <v>0.928899082568807</v>
      </c>
      <c r="S30" s="15" t="n">
        <f aca="false">0/$R$3</f>
        <v>0</v>
      </c>
      <c r="T30" s="14" t="n">
        <v>0.621129369842947</v>
      </c>
      <c r="U30" s="14" t="n">
        <v>0.666393615848911</v>
      </c>
      <c r="V30" s="15" t="n">
        <f aca="false">0/$T$3</f>
        <v>0</v>
      </c>
      <c r="W30" s="14" t="n">
        <v>0.577464788732394</v>
      </c>
      <c r="X30" s="15" t="n">
        <f aca="false">0/$W$3</f>
        <v>0</v>
      </c>
    </row>
    <row r="31" customFormat="false" ht="12.65" hidden="false" customHeight="false" outlineLevel="0" collapsed="false">
      <c r="A31" s="16" t="s">
        <v>68</v>
      </c>
      <c r="B31" s="12" t="s">
        <v>69</v>
      </c>
      <c r="C31" s="13" t="n">
        <f aca="false">AVERAGE(W31,T31:U31,R31,P31,N31,M31,K31,H31,I31,F31,D31)</f>
        <v>0.623563086724128</v>
      </c>
      <c r="D31" s="14" t="n">
        <v>0.477381210215107</v>
      </c>
      <c r="E31" s="15" t="n">
        <f aca="false">1/$D$3</f>
        <v>0.000958772770853308</v>
      </c>
      <c r="F31" s="14" t="n">
        <v>0.286907794192562</v>
      </c>
      <c r="G31" s="15" t="n">
        <f aca="false">0/$F$3</f>
        <v>0</v>
      </c>
      <c r="H31" s="14" t="n">
        <v>0.723039215686275</v>
      </c>
      <c r="I31" s="14" t="n">
        <v>0.804835924006909</v>
      </c>
      <c r="J31" s="15" t="n">
        <f aca="false">0/$H$3</f>
        <v>0</v>
      </c>
      <c r="K31" s="14" t="n">
        <v>0.409992652461425</v>
      </c>
      <c r="L31" s="15" t="n">
        <f aca="false">19/$K$3</f>
        <v>0.00347794252242358</v>
      </c>
      <c r="M31" s="14" t="n">
        <v>0.750581251545882</v>
      </c>
      <c r="N31" s="14" t="n">
        <v>0.721851381916478</v>
      </c>
      <c r="O31" s="15" t="n">
        <f aca="false">0/$M$3</f>
        <v>0</v>
      </c>
      <c r="P31" s="14" t="n">
        <v>0.245487364620939</v>
      </c>
      <c r="Q31" s="15" t="n">
        <f aca="false">0/$P$3</f>
        <v>0</v>
      </c>
      <c r="R31" s="14" t="n">
        <v>0.870412844036697</v>
      </c>
      <c r="S31" s="15" t="n">
        <f aca="false">0/$R$3</f>
        <v>0</v>
      </c>
      <c r="T31" s="14" t="n">
        <v>0.810628242029225</v>
      </c>
      <c r="U31" s="14" t="n">
        <v>0.80417437124564</v>
      </c>
      <c r="V31" s="15" t="n">
        <f aca="false">0/$T$3</f>
        <v>0</v>
      </c>
      <c r="W31" s="14" t="n">
        <v>0.577464788732394</v>
      </c>
      <c r="X31" s="15" t="n">
        <f aca="false">0/$W$3</f>
        <v>0</v>
      </c>
    </row>
    <row r="32" customFormat="false" ht="12.65" hidden="false" customHeight="false" outlineLevel="0" collapsed="false">
      <c r="A32" s="16" t="s">
        <v>70</v>
      </c>
      <c r="B32" s="12" t="s">
        <v>71</v>
      </c>
      <c r="C32" s="13" t="n">
        <f aca="false">AVERAGE(W32,T32:U32,R32,P32,N32,M32,K32,H32,I32,F32,D32)</f>
        <v>0.613554278796799</v>
      </c>
      <c r="D32" s="14" t="n">
        <v>0.375051720670997</v>
      </c>
      <c r="E32" s="15" t="n">
        <f aca="false">0/$D$3</f>
        <v>0</v>
      </c>
      <c r="F32" s="14" t="n">
        <v>0.538767193071829</v>
      </c>
      <c r="G32" s="15" t="n">
        <f aca="false">0/$F$3</f>
        <v>0</v>
      </c>
      <c r="H32" s="14" t="n">
        <v>0.730392156862745</v>
      </c>
      <c r="I32" s="14" t="n">
        <v>0.827044025157233</v>
      </c>
      <c r="J32" s="15" t="n">
        <f aca="false">0/$H$3</f>
        <v>0</v>
      </c>
      <c r="K32" s="14" t="n">
        <v>0.557386051619989</v>
      </c>
      <c r="L32" s="15" t="n">
        <f aca="false">0/$K$3</f>
        <v>0</v>
      </c>
      <c r="M32" s="14" t="n">
        <v>0.608706406134059</v>
      </c>
      <c r="N32" s="14" t="n">
        <v>0.625189537528431</v>
      </c>
      <c r="O32" s="15" t="n">
        <f aca="false">0/$M$3</f>
        <v>0</v>
      </c>
      <c r="P32" s="14" t="n">
        <v>0.425992779783394</v>
      </c>
      <c r="Q32" s="15" t="n">
        <f aca="false">0/$P$3</f>
        <v>0</v>
      </c>
      <c r="R32" s="14" t="n">
        <v>0.932339449541284</v>
      </c>
      <c r="S32" s="15" t="n">
        <f aca="false">0/$R$3</f>
        <v>0</v>
      </c>
      <c r="T32" s="14" t="n">
        <v>0.573663619974553</v>
      </c>
      <c r="U32" s="14" t="n">
        <v>0.590653616484677</v>
      </c>
      <c r="V32" s="15" t="n">
        <f aca="false">0/$T$3</f>
        <v>0</v>
      </c>
      <c r="W32" s="14" t="n">
        <v>0.577464788732394</v>
      </c>
      <c r="X32" s="15" t="n">
        <f aca="false">0/$W$3</f>
        <v>0</v>
      </c>
    </row>
    <row r="33" customFormat="false" ht="12.65" hidden="false" customHeight="false" outlineLevel="0" collapsed="false">
      <c r="A33" s="16" t="s">
        <v>72</v>
      </c>
      <c r="B33" s="12" t="s">
        <v>73</v>
      </c>
      <c r="C33" s="13" t="n">
        <f aca="false">AVERAGE(W33,T33:U33,R33,P33,N33,M33,K33,H33,I33,F33,D33)</f>
        <v>0.588337454921144</v>
      </c>
      <c r="D33" s="14" t="n">
        <v>0.275218494690191</v>
      </c>
      <c r="E33" s="15" t="n">
        <f aca="false">1/$D$3</f>
        <v>0.000958772770853308</v>
      </c>
      <c r="F33" s="14" t="n">
        <v>0.256342333163525</v>
      </c>
      <c r="G33" s="15" t="n">
        <f aca="false">0/$F$3</f>
        <v>0</v>
      </c>
      <c r="H33" s="14" t="n">
        <v>0.718137254901961</v>
      </c>
      <c r="I33" s="14" t="n">
        <v>0.822804314329738</v>
      </c>
      <c r="J33" s="15" t="n">
        <f aca="false">0/$H$3</f>
        <v>0</v>
      </c>
      <c r="K33" s="14" t="n">
        <v>0.33260113490756</v>
      </c>
      <c r="L33" s="15" t="n">
        <f aca="false">0/$K$3</f>
        <v>0</v>
      </c>
      <c r="M33" s="14" t="n">
        <v>0.730112793113684</v>
      </c>
      <c r="N33" s="14" t="n">
        <v>0.707110836711137</v>
      </c>
      <c r="O33" s="15" t="n">
        <f aca="false">2/$M$3</f>
        <v>4.9468216670789E-005</v>
      </c>
      <c r="P33" s="14" t="n">
        <v>0.339350180505415</v>
      </c>
      <c r="Q33" s="15" t="n">
        <f aca="false">0/$P$3</f>
        <v>0</v>
      </c>
      <c r="R33" s="14" t="n">
        <v>0.918577981651376</v>
      </c>
      <c r="S33" s="15" t="n">
        <f aca="false">0/$R$3</f>
        <v>0</v>
      </c>
      <c r="T33" s="14" t="n">
        <v>0.730177716008711</v>
      </c>
      <c r="U33" s="14" t="n">
        <v>0.750743179633811</v>
      </c>
      <c r="V33" s="15" t="n">
        <f aca="false">0/$T$3</f>
        <v>0</v>
      </c>
      <c r="W33" s="14" t="n">
        <v>0.47887323943662</v>
      </c>
      <c r="X33" s="15" t="n">
        <f aca="false">0/$W$3</f>
        <v>0</v>
      </c>
    </row>
    <row r="34" customFormat="false" ht="12.65" hidden="false" customHeight="false" outlineLevel="0" collapsed="false">
      <c r="A34" s="16" t="s">
        <v>74</v>
      </c>
      <c r="B34" s="12" t="s">
        <v>75</v>
      </c>
      <c r="C34" s="13" t="n">
        <f aca="false">AVERAGE(W34,T34:U34,R34,P34,N34,M34,K34,H34,I34,F34,D34)</f>
        <v>0.573931674979746</v>
      </c>
      <c r="D34" s="14" t="n">
        <v>0.486972221108263</v>
      </c>
      <c r="E34" s="15" t="n">
        <f aca="false">0/$D$3</f>
        <v>0</v>
      </c>
      <c r="F34" s="14" t="n">
        <v>0.23555781966378</v>
      </c>
      <c r="G34" s="15" t="n">
        <f aca="false">0/$F$3</f>
        <v>0</v>
      </c>
      <c r="H34" s="14" t="n">
        <v>0.723039215686275</v>
      </c>
      <c r="I34" s="14" t="n">
        <v>0.81505728314239</v>
      </c>
      <c r="J34" s="15" t="n">
        <f aca="false">0/$H$3</f>
        <v>0</v>
      </c>
      <c r="K34" s="14" t="n">
        <v>0.357678930990298</v>
      </c>
      <c r="L34" s="15" t="n">
        <f aca="false">0/$K$3</f>
        <v>0</v>
      </c>
      <c r="M34" s="14" t="n">
        <v>0.671671696432989</v>
      </c>
      <c r="N34" s="14" t="n">
        <v>0.656291270683896</v>
      </c>
      <c r="O34" s="15" t="n">
        <f aca="false">4/$M$3</f>
        <v>9.8936433341578E-005</v>
      </c>
      <c r="P34" s="14" t="n">
        <v>0.306859205776173</v>
      </c>
      <c r="Q34" s="15" t="n">
        <f aca="false">0/$P$3</f>
        <v>0</v>
      </c>
      <c r="R34" s="14" t="n">
        <v>0.815366972477064</v>
      </c>
      <c r="S34" s="15" t="n">
        <f aca="false">0/$R$3</f>
        <v>0</v>
      </c>
      <c r="T34" s="14" t="n">
        <v>0.662651642860851</v>
      </c>
      <c r="U34" s="14" t="n">
        <v>0.64899158741385</v>
      </c>
      <c r="V34" s="15" t="n">
        <f aca="false">0/$T$3</f>
        <v>0</v>
      </c>
      <c r="W34" s="14" t="n">
        <v>0.507042253521127</v>
      </c>
      <c r="X34" s="15" t="n">
        <f aca="false">0/$W$3</f>
        <v>0</v>
      </c>
    </row>
    <row r="35" customFormat="false" ht="12.65" hidden="false" customHeight="false" outlineLevel="0" collapsed="false">
      <c r="A35" s="16" t="s">
        <v>76</v>
      </c>
      <c r="B35" s="12" t="s">
        <v>77</v>
      </c>
      <c r="C35" s="13" t="n">
        <f aca="false">AVERAGE(W35,T35:U35,R35,P35,N35,M35,K35,H35,I35,F35,D35)</f>
        <v>0.499454443668613</v>
      </c>
      <c r="D35" s="14" t="n">
        <v>0.333471865271531</v>
      </c>
      <c r="E35" s="15" t="n">
        <f aca="false">6/$D$3</f>
        <v>0.00575263662511985</v>
      </c>
      <c r="F35" s="14" t="n">
        <v>0.292103922567499</v>
      </c>
      <c r="G35" s="15" t="n">
        <f aca="false">0/$F$3</f>
        <v>0</v>
      </c>
      <c r="H35" s="14" t="n">
        <v>0.698529411764706</v>
      </c>
      <c r="I35" s="14" t="n">
        <v>0.805687203791469</v>
      </c>
      <c r="J35" s="15" t="n">
        <f aca="false">0/$H$3</f>
        <v>0</v>
      </c>
      <c r="K35" s="14" t="n">
        <v>0.391434449223864</v>
      </c>
      <c r="L35" s="15" t="n">
        <f aca="false">116/$K$3</f>
        <v>0.0212337543474282</v>
      </c>
      <c r="M35" s="14" t="n">
        <v>0.691602220900258</v>
      </c>
      <c r="N35" s="14" t="n">
        <v>0.36669042044182</v>
      </c>
      <c r="O35" s="15" t="n">
        <f aca="false">86/$M$3</f>
        <v>0.00212713331684393</v>
      </c>
      <c r="P35" s="14" t="n">
        <v>0.306859205776173</v>
      </c>
      <c r="Q35" s="15" t="n">
        <f aca="false">0/$P$3</f>
        <v>0</v>
      </c>
      <c r="R35" s="14" t="n">
        <v>0.855504587155963</v>
      </c>
      <c r="S35" s="15" t="n">
        <f aca="false">0/$R$3</f>
        <v>0</v>
      </c>
      <c r="T35" s="14" t="n">
        <v>0.370306926073738</v>
      </c>
      <c r="U35" s="14" t="n">
        <v>0.402389871619712</v>
      </c>
      <c r="V35" s="15" t="n">
        <f aca="false">0/$T$3</f>
        <v>0</v>
      </c>
      <c r="W35" s="14" t="n">
        <v>0.47887323943662</v>
      </c>
      <c r="X35" s="15" t="n">
        <f aca="false">0/$W$3</f>
        <v>0</v>
      </c>
    </row>
    <row r="36" customFormat="false" ht="12.65" hidden="false" customHeight="false" outlineLevel="0" collapsed="false">
      <c r="A36" s="16" t="s">
        <v>78</v>
      </c>
      <c r="B36" s="12" t="s">
        <v>79</v>
      </c>
      <c r="C36" s="13" t="n">
        <f aca="false">AVERAGE(W36,T36:U36,R36,P36,N36,M36,K36,H36,I36,F36,D36)</f>
        <v>0.457777805523234</v>
      </c>
      <c r="D36" s="14" t="n">
        <v>0</v>
      </c>
      <c r="E36" s="15" t="n">
        <f aca="false">12/$D$3</f>
        <v>0.0115052732502397</v>
      </c>
      <c r="F36" s="14" t="n">
        <v>0.31758314125782</v>
      </c>
      <c r="G36" s="15" t="n">
        <f aca="false">3741/$F$3</f>
        <v>0.381151299032094</v>
      </c>
      <c r="H36" s="14" t="n">
        <v>0.679389312977099</v>
      </c>
      <c r="I36" s="14" t="n">
        <v>0.809090909090909</v>
      </c>
      <c r="J36" s="15" t="n">
        <f aca="false">15/$H$3</f>
        <v>0.0367647058823529</v>
      </c>
      <c r="K36" s="14" t="n">
        <v>0.482825664290343</v>
      </c>
      <c r="L36" s="15" t="n">
        <f aca="false">3920/$K$3</f>
        <v>0.717554457257917</v>
      </c>
      <c r="M36" s="14" t="s">
        <v>80</v>
      </c>
      <c r="N36" s="14" t="s">
        <v>80</v>
      </c>
      <c r="O36" s="15" t="n">
        <f aca="false">0/$M$3</f>
        <v>0</v>
      </c>
      <c r="P36" s="14" t="s">
        <v>80</v>
      </c>
      <c r="Q36" s="15" t="n">
        <f aca="false">0/$P$3</f>
        <v>0</v>
      </c>
      <c r="R36" s="14" t="s">
        <v>80</v>
      </c>
      <c r="S36" s="15" t="n">
        <f aca="false">0/$R$3</f>
        <v>0</v>
      </c>
      <c r="T36" s="14" t="s">
        <v>80</v>
      </c>
      <c r="U36" s="14" t="s">
        <v>80</v>
      </c>
      <c r="V36" s="15" t="n">
        <f aca="false">0/$T$3</f>
        <v>0</v>
      </c>
      <c r="W36" s="14" t="s">
        <v>80</v>
      </c>
      <c r="X36" s="15" t="n">
        <f aca="false">0/$W$3</f>
        <v>0</v>
      </c>
    </row>
    <row r="37" customFormat="false" ht="12.65" hidden="false" customHeight="false" outlineLevel="0" collapsed="false">
      <c r="A37" s="16" t="s">
        <v>81</v>
      </c>
      <c r="B37" s="12" t="s">
        <v>82</v>
      </c>
      <c r="C37" s="13" t="n">
        <f aca="false">AVERAGE(W37,T37:U37,R37,P37,N37,M37,K37,H37,I37,F37,D37)</f>
        <v>0.338674923063942</v>
      </c>
      <c r="D37" s="14" t="n">
        <v>0.241606739317903</v>
      </c>
      <c r="E37" s="15" t="n">
        <f aca="false">7/$D$3</f>
        <v>0.00671140939597315</v>
      </c>
      <c r="F37" s="14" t="n">
        <v>0.285161027313494</v>
      </c>
      <c r="G37" s="15" t="n">
        <f aca="false">3/$F$3</f>
        <v>0.000305654610290372</v>
      </c>
      <c r="H37" s="14" t="n">
        <v>0.333333333333333</v>
      </c>
      <c r="I37" s="14" t="n">
        <v>0.0620689655172414</v>
      </c>
      <c r="J37" s="15" t="n">
        <f aca="false">0/$H$3</f>
        <v>0</v>
      </c>
      <c r="K37" s="14" t="n">
        <v>0.32644239804548</v>
      </c>
      <c r="L37" s="15" t="n">
        <f aca="false">142/$K$3</f>
        <v>0.0259930441149552</v>
      </c>
      <c r="M37" s="14" t="n">
        <v>0.459092373658512</v>
      </c>
      <c r="N37" s="14" t="n">
        <v>0.524490151647202</v>
      </c>
      <c r="O37" s="15" t="n">
        <f aca="false">83/$M$3</f>
        <v>0.00205293099183774</v>
      </c>
      <c r="P37" s="14" t="n">
        <v>0.357400722021661</v>
      </c>
      <c r="Q37" s="15" t="n">
        <f aca="false">0/$P$3</f>
        <v>0</v>
      </c>
      <c r="R37" s="14" t="n">
        <v>0.894374282433984</v>
      </c>
      <c r="S37" s="15" t="n">
        <f aca="false">1/$R$3</f>
        <v>0.00114678899082569</v>
      </c>
      <c r="T37" s="14" t="n">
        <v>0.0103797859681123</v>
      </c>
      <c r="U37" s="14" t="n">
        <v>0.119045072158263</v>
      </c>
      <c r="V37" s="15" t="n">
        <f aca="false">10/$T$3</f>
        <v>0.00666666666666667</v>
      </c>
      <c r="W37" s="14" t="n">
        <v>0.450704225352113</v>
      </c>
      <c r="X37" s="15" t="n">
        <f aca="false">0/$W$3</f>
        <v>0</v>
      </c>
    </row>
    <row r="38" customFormat="false" ht="12.65" hidden="false" customHeight="false" outlineLevel="0" collapsed="false">
      <c r="A38" s="16" t="s">
        <v>83</v>
      </c>
      <c r="B38" s="12" t="s">
        <v>69</v>
      </c>
      <c r="C38" s="13" t="n">
        <f aca="false">AVERAGE(W38,T38:U38,R38,P38,N38,M38,K38,H38,I38,F38,D38)</f>
        <v>0.315867617188256</v>
      </c>
      <c r="D38" s="14" t="n">
        <v>0.0292920614513275</v>
      </c>
      <c r="E38" s="15" t="n">
        <f aca="false">0/$D$3</f>
        <v>0</v>
      </c>
      <c r="F38" s="14" t="n">
        <v>0.35588385124809</v>
      </c>
      <c r="G38" s="15" t="n">
        <f aca="false">0/$F$3</f>
        <v>0</v>
      </c>
      <c r="H38" s="14" t="n">
        <v>0.321078431372549</v>
      </c>
      <c r="I38" s="14" t="n">
        <v>0.0142348754448399</v>
      </c>
      <c r="J38" s="15" t="n">
        <f aca="false">0/$H$3</f>
        <v>0</v>
      </c>
      <c r="K38" s="14" t="n">
        <v>0.494783086216365</v>
      </c>
      <c r="L38" s="15" t="n">
        <f aca="false">0/$K$3</f>
        <v>0</v>
      </c>
      <c r="M38" s="14" t="n">
        <v>0.664506554538709</v>
      </c>
      <c r="N38" s="14" t="n">
        <v>0.366819157875082</v>
      </c>
      <c r="O38" s="15" t="n">
        <f aca="false">0/$M$3</f>
        <v>0</v>
      </c>
      <c r="P38" s="14" t="n">
        <v>0.509025270758123</v>
      </c>
      <c r="Q38" s="15" t="n">
        <f aca="false">0/$P$3</f>
        <v>0</v>
      </c>
      <c r="R38" s="14" t="n">
        <v>0.49197247706422</v>
      </c>
      <c r="S38" s="15" t="n">
        <f aca="false">0/$R$3</f>
        <v>0</v>
      </c>
      <c r="T38" s="14" t="n">
        <v>-0.0284464151760631</v>
      </c>
      <c r="U38" s="14" t="n">
        <v>0.0219662808179385</v>
      </c>
      <c r="V38" s="15" t="n">
        <f aca="false">2/$T$3</f>
        <v>0.00133333333333333</v>
      </c>
      <c r="W38" s="14" t="n">
        <v>0.549295774647887</v>
      </c>
      <c r="X38" s="15" t="n">
        <f aca="false">0/$W$3</f>
        <v>0</v>
      </c>
    </row>
    <row r="39" customFormat="false" ht="12.8" hidden="false" customHeight="false" outlineLevel="0" collapsed="false"/>
    <row r="40" customFormat="false" ht="12.8" hidden="false" customHeight="false" outlineLevel="0" collapsed="false"/>
    <row r="41" customFormat="false" ht="12.8" hidden="false" customHeight="false" outlineLevel="0" collapsed="false"/>
    <row r="42" customFormat="false" ht="12.8" hidden="false" customHeight="false" outlineLevel="0" collapsed="false"/>
    <row r="43" customFormat="false" ht="12.8" hidden="false" customHeight="false" outlineLevel="0" collapsed="false"/>
    <row r="44" customFormat="false" ht="12.8" hidden="false" customHeight="false" outlineLevel="0" collapsed="false"/>
    <row r="45" customFormat="false" ht="12.8" hidden="false" customHeight="false" outlineLevel="0" collapsed="false"/>
    <row r="46" customFormat="false" ht="12.8" hidden="false" customHeight="false" outlineLevel="0" collapsed="false"/>
    <row r="47" customFormat="false" ht="12.8" hidden="false" customHeight="false" outlineLevel="0" collapsed="false"/>
    <row r="48" customFormat="false" ht="12.8" hidden="false" customHeight="false" outlineLevel="0" collapsed="false"/>
  </sheetData>
  <autoFilter ref="A3:X48"/>
  <mergeCells count="10">
    <mergeCell ref="D1:X1"/>
    <mergeCell ref="D2:E2"/>
    <mergeCell ref="F2:G2"/>
    <mergeCell ref="H2:J2"/>
    <mergeCell ref="K2:L2"/>
    <mergeCell ref="M2:O2"/>
    <mergeCell ref="P2:Q2"/>
    <mergeCell ref="R2:S2"/>
    <mergeCell ref="T2:V2"/>
    <mergeCell ref="W2:X2"/>
  </mergeCells>
  <conditionalFormatting sqref="E4:E48 G4:G48 J4:J48 L4:L48 O4:O48 Q4:Q48 S4:S48 X4:X48 V4:V48">
    <cfRule type="cellIs" priority="2" operator="greaterThan" aboveAverage="0" equalAverage="0" bottom="0" percent="0" rank="0" text="" dxfId="133">
      <formula>0</formula>
    </cfRule>
  </conditionalFormatting>
  <conditionalFormatting sqref="D4:D48">
    <cfRule type="colorScale" priority="3">
      <colorScale>
        <cfvo type="min" val="0"/>
        <cfvo type="max" val="0"/>
        <color rgb="FFFF6D6D"/>
        <color rgb="FF77BC65"/>
      </colorScale>
    </cfRule>
  </conditionalFormatting>
  <conditionalFormatting sqref="F4:F48">
    <cfRule type="colorScale" priority="4">
      <colorScale>
        <cfvo type="min" val="0"/>
        <cfvo type="max" val="0"/>
        <color rgb="FFFF6D6D"/>
        <color rgb="FF77BC65"/>
      </colorScale>
    </cfRule>
  </conditionalFormatting>
  <conditionalFormatting sqref="H4:H48">
    <cfRule type="colorScale" priority="5">
      <colorScale>
        <cfvo type="min" val="0"/>
        <cfvo type="max" val="0"/>
        <color rgb="FFFF6D6D"/>
        <color rgb="FF77BC65"/>
      </colorScale>
    </cfRule>
  </conditionalFormatting>
  <conditionalFormatting sqref="I4:I48">
    <cfRule type="colorScale" priority="6">
      <colorScale>
        <cfvo type="min" val="0"/>
        <cfvo type="max" val="0"/>
        <color rgb="FFFF6D6D"/>
        <color rgb="FF77BC65"/>
      </colorScale>
    </cfRule>
  </conditionalFormatting>
  <conditionalFormatting sqref="K4:K48">
    <cfRule type="colorScale" priority="7">
      <colorScale>
        <cfvo type="min" val="0"/>
        <cfvo type="max" val="0"/>
        <color rgb="FFFF6D6D"/>
        <color rgb="FF77BC65"/>
      </colorScale>
    </cfRule>
  </conditionalFormatting>
  <conditionalFormatting sqref="M4:M48">
    <cfRule type="colorScale" priority="8">
      <colorScale>
        <cfvo type="min" val="0"/>
        <cfvo type="max" val="0"/>
        <color rgb="FFFF6D6D"/>
        <color rgb="FF77BC65"/>
      </colorScale>
    </cfRule>
  </conditionalFormatting>
  <conditionalFormatting sqref="N4:N48">
    <cfRule type="colorScale" priority="9">
      <colorScale>
        <cfvo type="min" val="0"/>
        <cfvo type="max" val="0"/>
        <color rgb="FFFF6D6D"/>
        <color rgb="FF77BC65"/>
      </colorScale>
    </cfRule>
  </conditionalFormatting>
  <conditionalFormatting sqref="P4:P48">
    <cfRule type="colorScale" priority="10">
      <colorScale>
        <cfvo type="min" val="0"/>
        <cfvo type="max" val="0"/>
        <color rgb="FFFF6D6D"/>
        <color rgb="FF77BC65"/>
      </colorScale>
    </cfRule>
  </conditionalFormatting>
  <conditionalFormatting sqref="R4:R48">
    <cfRule type="colorScale" priority="11">
      <colorScale>
        <cfvo type="min" val="0"/>
        <cfvo type="max" val="0"/>
        <color rgb="FFFF6D6D"/>
        <color rgb="FF77BC65"/>
      </colorScale>
    </cfRule>
  </conditionalFormatting>
  <conditionalFormatting sqref="T4:T48">
    <cfRule type="colorScale" priority="12">
      <colorScale>
        <cfvo type="min" val="0"/>
        <cfvo type="max" val="0"/>
        <color rgb="FFFF6D6D"/>
        <color rgb="FF77BC65"/>
      </colorScale>
    </cfRule>
  </conditionalFormatting>
  <conditionalFormatting sqref="U4:U48">
    <cfRule type="colorScale" priority="13">
      <colorScale>
        <cfvo type="min" val="0"/>
        <cfvo type="max" val="0"/>
        <color rgb="FFFF6D6D"/>
        <color rgb="FF77BC65"/>
      </colorScale>
    </cfRule>
  </conditionalFormatting>
  <conditionalFormatting sqref="W4:W48">
    <cfRule type="colorScale" priority="14">
      <colorScale>
        <cfvo type="min" val="0"/>
        <cfvo type="max" val="0"/>
        <color rgb="FFFF6D6D"/>
        <color rgb="FF77BC65"/>
      </colorScale>
    </cfRule>
  </conditionalFormatting>
  <hyperlinks>
    <hyperlink ref="B4" r:id="rId2" display="https://ollama.com/library/gemma4:31b"/>
    <hyperlink ref="B5" r:id="rId3" display="https://huggingface.co/bartowski/DeepSeek-R1-Distill-Qwen-32B-GGUF"/>
    <hyperlink ref="B6" r:id="rId4" display="https://huggingface.co/bartowski/Qwen2.5-32B-Instruct-GGUF"/>
    <hyperlink ref="B7" r:id="rId5" display="https://huggingface.co/unsloth/Mistral-Small-24B-Instruct-2501-GGUF"/>
    <hyperlink ref="B8" r:id="rId6" display="https://huggingface.co/bartowski/Yi-1.5-34B-Chat-GGUF"/>
    <hyperlink ref="B9" r:id="rId7" display="https://huggingface.co/bartowski/google_gemma-3-27b-it-GGUF"/>
    <hyperlink ref="B10" r:id="rId8" display="https://huggingface.co/bartowski/gemma-2-27b-it-GGUF"/>
    <hyperlink ref="B11" r:id="rId9" display="https://huggingface.co/RedHatAI/gemma-4-26B-A4B-it-FP8-dynamic"/>
    <hyperlink ref="B12" r:id="rId10" display="https://huggingface.co/matteogeniaccio/phi-4"/>
    <hyperlink ref="B13" r:id="rId11" display="https://ollama.com/mirage335/Mistral-Small-3_2-24B-Instruct-2506-virtuoso"/>
    <hyperlink ref="B14" r:id="rId12" display="https://huggingface.co/unsloth/Llama-3.3-70B-Instruct-GGUF"/>
    <hyperlink ref="B15" r:id="rId13" display="https://huggingface.co/bartowski/gemma-2-9b-it-GGUF"/>
    <hyperlink ref="B16" r:id="rId14" display="https://huggingface.co/born2bewild/Qwen3.8-27B-W4A16-AutoRound-fast"/>
    <hyperlink ref="B17" r:id="rId15" display="https://huggingface.co/TheBloke/Mixtral-8x7B-Instruct-v0.1-GGUF"/>
    <hyperlink ref="B18" r:id="rId16" display="https://huggingface.co/bartowski/Meta-Llama-3.1-8B-Instruct-GGUF"/>
    <hyperlink ref="B19" r:id="rId17" display="https://huggingface.co/bartowski/Mistral-NeMo-Minitron-8B-Instruct-GGUF"/>
    <hyperlink ref="B20" r:id="rId18" display="https://ollama.com/library/glm-4.7-flash:q4_K_M"/>
    <hyperlink ref="B21" r:id="rId19" display="https://huggingface.co/bartowski/Meta-Llama-3.1-70B-Instruct-GGUF"/>
    <hyperlink ref="B22" r:id="rId20" display="https://huggingface.co/onprem-ai/Apertus-v1.5-8B-FP8"/>
    <hyperlink ref="B23" r:id="rId21" display="https://huggingface.co/bartowski/Phi-3-medium-4k-instruct-GGUF"/>
    <hyperlink ref="B24" r:id="rId22" display="https://huggingface.co/lovedheart/Qwen3.5-4B-FP8"/>
    <hyperlink ref="B25" r:id="rId23" display="https://huggingface.co/mradermacher/c4ai-command-r-v01-i1-GGUF"/>
    <hyperlink ref="B26" r:id="rId24" display="https://huggingface.co/TheBloke/SOLAR-10.7B-Instruct-v1.0-GGUF"/>
    <hyperlink ref="B27" r:id="rId25" display="https://huggingface.co/microsoft/Phi-3-mini-4k-instruct-gguf"/>
    <hyperlink ref="B28" r:id="rId26" display="https://huggingface.co/bartowski/Ministral-8B-Instruct-2410-GGUF"/>
    <hyperlink ref="B29" r:id="rId27" display="https://ollama.com/MichelRosselli/apertus:8b-instruct-2509-q4_k_m"/>
    <hyperlink ref="B30" r:id="rId28" display="https://huggingface.co/TheBloke/Llama-2-7B-32K-Instruct-GGUF"/>
    <hyperlink ref="B31" r:id="rId29" display="https://huggingface.co/bartowski/gemma-2-2b-it-GGUF"/>
    <hyperlink ref="B32" r:id="rId30" display="https://huggingface.co/bartowski/Llama-3.2-3B-Instruct-GGUF"/>
    <hyperlink ref="B33" r:id="rId31" display="https://huggingface.co/RichardErkhov/BSC-LT_-_salamandra-7b-instruct-gguf"/>
    <hyperlink ref="B34" r:id="rId32" display="https://huggingface.co/bartowski/OLMoE-1B-7B-0924-Instruct-GGUF"/>
    <hyperlink ref="B35" r:id="rId33" display="https://huggingface.co/fragata/PULI-LlumiX-32K-Instruct-Q4_K_M-GGUF"/>
    <hyperlink ref="B36" r:id="rId34" display="https://huggingface.co/mradermacher/falcon-mamba-7b-instruct-GGUF"/>
    <hyperlink ref="B37" r:id="rId35" display="https://huggingface.co/ariel-ml/SambaLingo-Hungarian-Chat-GGUF"/>
    <hyperlink ref="B38" r:id="rId36" display="https://huggingface.co/bartowski/gemma-2-2b-it-GGUF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37"/>
  <legacyDrawing r:id="rId38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1.53515625" defaultRowHeight="12" customHeight="true" zeroHeight="false" outlineLevelRow="0" outlineLevelCol="0"/>
  <cols>
    <col collapsed="false" customWidth="true" hidden="false" outlineLevel="0" max="1" min="1" style="1" width="41.18"/>
    <col collapsed="false" customWidth="true" hidden="false" outlineLevel="0" max="2" min="2" style="1" width="15.72"/>
    <col collapsed="false" customWidth="false" hidden="false" outlineLevel="0" max="3" min="3" style="2" width="11.53"/>
    <col collapsed="false" customWidth="true" hidden="false" outlineLevel="0" max="4" min="4" style="3" width="7.38"/>
    <col collapsed="false" customWidth="true" hidden="false" outlineLevel="0" max="5" min="5" style="4" width="7.16"/>
    <col collapsed="false" customWidth="true" hidden="false" outlineLevel="0" max="6" min="6" style="3" width="7.16"/>
    <col collapsed="false" customWidth="true" hidden="false" outlineLevel="0" max="7" min="7" style="4" width="7.16"/>
    <col collapsed="false" customWidth="true" hidden="false" outlineLevel="0" max="8" min="8" style="3" width="7.16"/>
    <col collapsed="false" customWidth="true" hidden="false" outlineLevel="0" max="9" min="9" style="4" width="7.16"/>
    <col collapsed="false" customWidth="true" hidden="false" outlineLevel="0" max="10" min="10" style="3" width="7.16"/>
    <col collapsed="false" customWidth="true" hidden="false" outlineLevel="0" max="11" min="11" style="4" width="7.69"/>
    <col collapsed="false" customWidth="true" hidden="false" outlineLevel="0" max="12" min="12" style="3" width="7.16"/>
    <col collapsed="false" customWidth="true" hidden="false" outlineLevel="0" max="13" min="13" style="4" width="6.7"/>
    <col collapsed="false" customWidth="true" hidden="false" outlineLevel="0" max="14" min="14" style="3" width="7.16"/>
    <col collapsed="false" customWidth="true" hidden="false" outlineLevel="0" max="15" min="15" style="4" width="6.7"/>
    <col collapsed="false" customWidth="true" hidden="false" outlineLevel="0" max="16" min="16" style="1" width="7.38"/>
    <col collapsed="false" customWidth="true" hidden="false" outlineLevel="0" max="17" min="17" style="1" width="9.46"/>
    <col collapsed="false" customWidth="true" hidden="false" outlineLevel="0" max="18" min="18" style="20" width="8.76"/>
    <col collapsed="false" customWidth="true" hidden="false" outlineLevel="0" max="19" min="19" style="4" width="7.69"/>
  </cols>
  <sheetData>
    <row r="1" customFormat="false" ht="12.65" hidden="false" customHeight="false" outlineLevel="0" collapsed="false">
      <c r="A1" s="2" t="s">
        <v>0</v>
      </c>
      <c r="B1" s="2" t="s">
        <v>1</v>
      </c>
      <c r="D1" s="5" t="s">
        <v>84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21" t="s">
        <v>85</v>
      </c>
      <c r="Q1" s="21"/>
      <c r="R1" s="21"/>
      <c r="S1" s="21"/>
    </row>
    <row r="2" customFormat="false" ht="12.65" hidden="false" customHeight="false" outlineLevel="0" collapsed="false">
      <c r="A2" s="6"/>
      <c r="B2" s="6"/>
      <c r="C2" s="7" t="s">
        <v>3</v>
      </c>
      <c r="D2" s="5" t="s">
        <v>86</v>
      </c>
      <c r="E2" s="5"/>
      <c r="F2" s="5" t="s">
        <v>87</v>
      </c>
      <c r="G2" s="5"/>
      <c r="H2" s="5" t="s">
        <v>88</v>
      </c>
      <c r="I2" s="5"/>
      <c r="J2" s="5" t="s">
        <v>89</v>
      </c>
      <c r="K2" s="5"/>
      <c r="L2" s="5" t="s">
        <v>90</v>
      </c>
      <c r="M2" s="5"/>
      <c r="N2" s="5" t="s">
        <v>91</v>
      </c>
      <c r="O2" s="5"/>
      <c r="P2" s="21" t="s">
        <v>92</v>
      </c>
      <c r="Q2" s="21"/>
      <c r="R2" s="21"/>
      <c r="S2" s="21"/>
    </row>
    <row r="3" customFormat="false" ht="12.65" hidden="false" customHeight="false" outlineLevel="0" collapsed="false">
      <c r="A3" s="11" t="n">
        <f aca="false" t="array" ref="A3:A3">SUM(IF(A4:A50&lt;&gt;"",1,0))</f>
        <v>40</v>
      </c>
      <c r="D3" s="8" t="n">
        <v>910</v>
      </c>
      <c r="E3" s="9" t="s">
        <v>13</v>
      </c>
      <c r="F3" s="8" t="n">
        <v>100</v>
      </c>
      <c r="G3" s="9" t="s">
        <v>13</v>
      </c>
      <c r="H3" s="8" t="n">
        <v>103</v>
      </c>
      <c r="I3" s="9" t="s">
        <v>13</v>
      </c>
      <c r="J3" s="10" t="n">
        <v>243</v>
      </c>
      <c r="K3" s="9" t="s">
        <v>13</v>
      </c>
      <c r="L3" s="10" t="n">
        <v>1165</v>
      </c>
      <c r="M3" s="9" t="s">
        <v>13</v>
      </c>
      <c r="N3" s="8" t="n">
        <v>60</v>
      </c>
      <c r="O3" s="9" t="s">
        <v>13</v>
      </c>
      <c r="P3" s="8" t="n">
        <v>2000</v>
      </c>
      <c r="Q3" s="8" t="s">
        <v>93</v>
      </c>
      <c r="R3" s="22" t="s">
        <v>94</v>
      </c>
      <c r="S3" s="9" t="s">
        <v>13</v>
      </c>
    </row>
    <row r="4" customFormat="false" ht="12.65" hidden="false" customHeight="false" outlineLevel="0" collapsed="false">
      <c r="A4" s="23" t="s">
        <v>95</v>
      </c>
      <c r="B4" s="12" t="s">
        <v>96</v>
      </c>
      <c r="C4" s="13" t="n">
        <f aca="false">AVERAGE(D4,F4,H4,J4,L4,N4)</f>
        <v>0.626875296517147</v>
      </c>
      <c r="D4" s="14" t="n">
        <v>0.300312487565186</v>
      </c>
      <c r="E4" s="15" t="n">
        <f aca="false">0/$D$3</f>
        <v>0</v>
      </c>
      <c r="F4" s="14" t="n">
        <v>0.82</v>
      </c>
      <c r="G4" s="15" t="n">
        <f aca="false">0/$F$3</f>
        <v>0</v>
      </c>
      <c r="H4" s="14" t="n">
        <v>0.58252427184466</v>
      </c>
      <c r="I4" s="15" t="n">
        <f aca="false">0/$H$3</f>
        <v>0</v>
      </c>
      <c r="J4" s="14" t="n">
        <v>0.818930041152263</v>
      </c>
      <c r="K4" s="15" t="n">
        <f aca="false">0/$J$3</f>
        <v>0</v>
      </c>
      <c r="L4" s="14" t="n">
        <v>0.639484978540773</v>
      </c>
      <c r="M4" s="15" t="n">
        <f aca="false">0/$L$3</f>
        <v>0</v>
      </c>
      <c r="N4" s="14" t="n">
        <v>0.6</v>
      </c>
      <c r="O4" s="15" t="n">
        <f aca="false">0/$N$3</f>
        <v>0</v>
      </c>
      <c r="P4" s="24" t="n">
        <v>0.147801061430641</v>
      </c>
      <c r="Q4" s="14" t="n">
        <v>1.05922533571373</v>
      </c>
      <c r="R4" s="25" t="n">
        <v>0.027</v>
      </c>
      <c r="S4" s="15" t="n">
        <f aca="false">0/$P$3</f>
        <v>0</v>
      </c>
    </row>
    <row r="5" customFormat="false" ht="12.65" hidden="false" customHeight="false" outlineLevel="0" collapsed="false">
      <c r="A5" s="26" t="s">
        <v>50</v>
      </c>
      <c r="B5" s="18" t="s">
        <v>51</v>
      </c>
      <c r="C5" s="13" t="n">
        <f aca="false">AVERAGE(D5,F5,H5,J5,L5,N5)</f>
        <v>0.640456383842374</v>
      </c>
      <c r="D5" s="14" t="n">
        <v>0.357310662636444</v>
      </c>
      <c r="E5" s="15" t="n">
        <f aca="false">0/$D$3</f>
        <v>0</v>
      </c>
      <c r="F5" s="14" t="n">
        <v>0.87</v>
      </c>
      <c r="G5" s="15" t="n">
        <f aca="false">0/$F$3</f>
        <v>0</v>
      </c>
      <c r="H5" s="14" t="n">
        <v>0.524271844660194</v>
      </c>
      <c r="I5" s="15" t="n">
        <f aca="false">0/$H$3</f>
        <v>0</v>
      </c>
      <c r="J5" s="14" t="n">
        <v>0.847736625514403</v>
      </c>
      <c r="K5" s="15" t="n">
        <f aca="false">0/$J$3</f>
        <v>0</v>
      </c>
      <c r="L5" s="14" t="n">
        <v>0.660085836909871</v>
      </c>
      <c r="M5" s="15" t="n">
        <f aca="false">0/$L$3</f>
        <v>0</v>
      </c>
      <c r="N5" s="14" t="n">
        <v>0.583333333333333</v>
      </c>
      <c r="O5" s="15" t="n">
        <f aca="false">0/$N$3</f>
        <v>0</v>
      </c>
      <c r="P5" s="24" t="n">
        <v>0.137571963545044</v>
      </c>
      <c r="Q5" s="19" t="n">
        <v>1.01482573934643</v>
      </c>
      <c r="R5" s="25" t="n">
        <v>0.021</v>
      </c>
      <c r="S5" s="15" t="n">
        <f aca="false">0/$P$3</f>
        <v>0</v>
      </c>
    </row>
    <row r="6" customFormat="false" ht="12.65" hidden="false" customHeight="false" outlineLevel="0" collapsed="false">
      <c r="A6" s="23" t="s">
        <v>26</v>
      </c>
      <c r="B6" s="12" t="s">
        <v>27</v>
      </c>
      <c r="C6" s="13" t="n">
        <f aca="false">AVERAGE(D6,F6,H6,J6,L6,N6)</f>
        <v>0.727222902045175</v>
      </c>
      <c r="D6" s="14" t="n">
        <v>0.395944466496389</v>
      </c>
      <c r="E6" s="15" t="n">
        <f aca="false">0/$D$3</f>
        <v>0</v>
      </c>
      <c r="F6" s="14" t="n">
        <v>0.989795918367347</v>
      </c>
      <c r="G6" s="15" t="n">
        <f aca="false">2/$F$3</f>
        <v>0.02</v>
      </c>
      <c r="H6" s="14" t="n">
        <v>0.70873786407767</v>
      </c>
      <c r="I6" s="15" t="n">
        <f aca="false">0/$H$3</f>
        <v>0</v>
      </c>
      <c r="J6" s="14" t="n">
        <v>0.896694214876033</v>
      </c>
      <c r="K6" s="15" t="n">
        <f aca="false">1/$J$3</f>
        <v>0.00411522633744856</v>
      </c>
      <c r="L6" s="14" t="n">
        <v>0.655498281786942</v>
      </c>
      <c r="M6" s="15" t="n">
        <f aca="false">1/$L$3</f>
        <v>0.000858369098712446</v>
      </c>
      <c r="N6" s="14" t="n">
        <v>0.716666666666667</v>
      </c>
      <c r="O6" s="15" t="n">
        <f aca="false">0/$N$3</f>
        <v>0</v>
      </c>
      <c r="P6" s="24" t="n">
        <v>0.136446672153424</v>
      </c>
      <c r="Q6" s="14" t="n">
        <v>1.06958782892184</v>
      </c>
      <c r="R6" s="25" t="n">
        <v>0.033</v>
      </c>
      <c r="S6" s="15" t="n">
        <f aca="false">0/$P$3</f>
        <v>0</v>
      </c>
    </row>
    <row r="7" customFormat="false" ht="12.65" hidden="false" customHeight="false" outlineLevel="0" collapsed="false">
      <c r="A7" s="23" t="s">
        <v>24</v>
      </c>
      <c r="B7" s="12" t="s">
        <v>25</v>
      </c>
      <c r="C7" s="13" t="n">
        <f aca="false">AVERAGE(D7,F7,H7,J7,L7,N7)</f>
        <v>0.758640727167074</v>
      </c>
      <c r="D7" s="14" t="n">
        <v>0.463205297623003</v>
      </c>
      <c r="E7" s="15" t="n">
        <f aca="false">0/$D$3</f>
        <v>0</v>
      </c>
      <c r="F7" s="14" t="n">
        <v>0.97</v>
      </c>
      <c r="G7" s="15" t="n">
        <f aca="false">0/$F$3</f>
        <v>0</v>
      </c>
      <c r="H7" s="14" t="n">
        <v>0.747572815533981</v>
      </c>
      <c r="I7" s="15" t="n">
        <f aca="false">0/$H$3</f>
        <v>0</v>
      </c>
      <c r="J7" s="14" t="n">
        <v>0.934156378600823</v>
      </c>
      <c r="K7" s="15" t="n">
        <f aca="false">0/$J$3</f>
        <v>0</v>
      </c>
      <c r="L7" s="14" t="n">
        <v>0.636909871244635</v>
      </c>
      <c r="M7" s="15" t="n">
        <f aca="false">0/$L$3</f>
        <v>0</v>
      </c>
      <c r="N7" s="14" t="n">
        <v>0.8</v>
      </c>
      <c r="O7" s="15" t="n">
        <f aca="false">0/$N$3</f>
        <v>0</v>
      </c>
      <c r="P7" s="24" t="n">
        <v>0.132675331540037</v>
      </c>
      <c r="Q7" s="14" t="n">
        <v>1.05977267307845</v>
      </c>
      <c r="R7" s="25" t="n">
        <v>0.033</v>
      </c>
      <c r="S7" s="15" t="n">
        <f aca="false">51/$P$3</f>
        <v>0.0255</v>
      </c>
    </row>
    <row r="8" customFormat="false" ht="12.65" hidden="false" customHeight="false" outlineLevel="0" collapsed="false">
      <c r="A8" s="23" t="s">
        <v>64</v>
      </c>
      <c r="B8" s="12" t="s">
        <v>65</v>
      </c>
      <c r="C8" s="13" t="n">
        <f aca="false">AVERAGE(D8,F8,H8,J8,L8,N8)</f>
        <v>0.615508159970092</v>
      </c>
      <c r="D8" s="14" t="n">
        <v>0.309226046760215</v>
      </c>
      <c r="E8" s="15" t="n">
        <f aca="false">0/$D$3</f>
        <v>0</v>
      </c>
      <c r="F8" s="14" t="n">
        <v>0.83</v>
      </c>
      <c r="G8" s="15" t="n">
        <f aca="false">0/$F$3</f>
        <v>0</v>
      </c>
      <c r="H8" s="14" t="n">
        <v>0.504854368932039</v>
      </c>
      <c r="I8" s="15" t="n">
        <f aca="false">0/$H$3</f>
        <v>0</v>
      </c>
      <c r="J8" s="14" t="n">
        <v>0.810699588477366</v>
      </c>
      <c r="K8" s="15" t="n">
        <f aca="false">0/$J$3</f>
        <v>0</v>
      </c>
      <c r="L8" s="14" t="n">
        <v>0.654935622317597</v>
      </c>
      <c r="M8" s="15" t="n">
        <f aca="false">0/$L$3</f>
        <v>0</v>
      </c>
      <c r="N8" s="14" t="n">
        <v>0.583333333333333</v>
      </c>
      <c r="O8" s="15" t="n">
        <f aca="false">0/$N$3</f>
        <v>0</v>
      </c>
      <c r="P8" s="24" t="n">
        <v>0.131279589527919</v>
      </c>
      <c r="Q8" s="14" t="n">
        <v>1.0417604595203</v>
      </c>
      <c r="R8" s="25" t="n">
        <v>0.025</v>
      </c>
      <c r="S8" s="15" t="n">
        <f aca="false">0/$P$3</f>
        <v>0</v>
      </c>
    </row>
    <row r="9" customFormat="false" ht="12.65" hidden="false" customHeight="false" outlineLevel="0" collapsed="false">
      <c r="A9" s="23" t="s">
        <v>81</v>
      </c>
      <c r="B9" s="12" t="s">
        <v>82</v>
      </c>
      <c r="C9" s="13" t="n">
        <f aca="false">AVERAGE(D9,F9,H9,J9,L9,N9)</f>
        <v>0.458591708120816</v>
      </c>
      <c r="D9" s="14" t="n">
        <v>0.0413572808150919</v>
      </c>
      <c r="E9" s="15" t="n">
        <f aca="false">0/$D$3</f>
        <v>0</v>
      </c>
      <c r="F9" s="14" t="n">
        <v>0.54</v>
      </c>
      <c r="G9" s="15" t="n">
        <f aca="false">0/$F$3</f>
        <v>0</v>
      </c>
      <c r="H9" s="14" t="n">
        <v>0.330097087378641</v>
      </c>
      <c r="I9" s="15" t="n">
        <f aca="false">0/$H$3</f>
        <v>0</v>
      </c>
      <c r="J9" s="14" t="n">
        <v>0.720164609053498</v>
      </c>
      <c r="K9" s="15" t="n">
        <f aca="false">0/$J$3</f>
        <v>0</v>
      </c>
      <c r="L9" s="14" t="n">
        <v>0.63659793814433</v>
      </c>
      <c r="M9" s="15" t="n">
        <f aca="false">1/$L$3</f>
        <v>0.000858369098712446</v>
      </c>
      <c r="N9" s="14" t="n">
        <v>0.483333333333333</v>
      </c>
      <c r="O9" s="15" t="n">
        <f aca="false">0/$N$3</f>
        <v>0</v>
      </c>
      <c r="P9" s="24" t="n">
        <v>0.130232557010572</v>
      </c>
      <c r="Q9" s="14" t="n">
        <v>1.02813785608942</v>
      </c>
      <c r="R9" s="25" t="n">
        <v>0.018</v>
      </c>
      <c r="S9" s="15" t="n">
        <f aca="false">0/$P$3</f>
        <v>0</v>
      </c>
    </row>
    <row r="10" customFormat="false" ht="12.65" hidden="false" customHeight="false" outlineLevel="0" collapsed="false">
      <c r="A10" s="23" t="s">
        <v>38</v>
      </c>
      <c r="B10" s="12" t="s">
        <v>39</v>
      </c>
      <c r="C10" s="13" t="n">
        <f aca="false">AVERAGE(D10,F10,H10,J10,L10,N10)</f>
        <v>0.770861747110517</v>
      </c>
      <c r="D10" s="14" t="n">
        <v>0.433337259845347</v>
      </c>
      <c r="E10" s="15" t="n">
        <f aca="false">0/$D$3</f>
        <v>0</v>
      </c>
      <c r="F10" s="14" t="n">
        <v>0.97</v>
      </c>
      <c r="G10" s="15" t="n">
        <f aca="false">0/$F$3</f>
        <v>0</v>
      </c>
      <c r="H10" s="14" t="n">
        <v>0.747572815533981</v>
      </c>
      <c r="I10" s="15" t="n">
        <f aca="false">0/$H$3</f>
        <v>0</v>
      </c>
      <c r="J10" s="14" t="n">
        <v>0.954732510288066</v>
      </c>
      <c r="K10" s="15" t="n">
        <f aca="false">0/$J$3</f>
        <v>0</v>
      </c>
      <c r="L10" s="14" t="n">
        <v>0.669527896995708</v>
      </c>
      <c r="M10" s="15" t="n">
        <f aca="false">0/$L$3</f>
        <v>0</v>
      </c>
      <c r="N10" s="14" t="n">
        <v>0.85</v>
      </c>
      <c r="O10" s="15" t="n">
        <f aca="false">0/$N$3</f>
        <v>0</v>
      </c>
      <c r="P10" s="24" t="n">
        <v>0.121047885113951</v>
      </c>
      <c r="Q10" s="14" t="n">
        <v>1.05678025304665</v>
      </c>
      <c r="R10" s="25" t="n">
        <v>0.033</v>
      </c>
      <c r="S10" s="15" t="n">
        <f aca="false">0/$P$3</f>
        <v>0</v>
      </c>
    </row>
    <row r="11" customFormat="false" ht="12.65" hidden="false" customHeight="false" outlineLevel="0" collapsed="false">
      <c r="A11" s="23" t="s">
        <v>72</v>
      </c>
      <c r="B11" s="12" t="s">
        <v>73</v>
      </c>
      <c r="C11" s="13" t="n">
        <f aca="false">AVERAGE(D11,F11,H11,J11,L11,N11)</f>
        <v>0.487199297461821</v>
      </c>
      <c r="D11" s="14" t="n">
        <v>-0.024589573912569</v>
      </c>
      <c r="E11" s="15" t="n">
        <f aca="false">0/$D$3</f>
        <v>0</v>
      </c>
      <c r="F11" s="14" t="n">
        <v>0.5</v>
      </c>
      <c r="G11" s="15" t="n">
        <f aca="false">0/$F$3</f>
        <v>0</v>
      </c>
      <c r="H11" s="14" t="n">
        <v>0.407766990291262</v>
      </c>
      <c r="I11" s="15" t="n">
        <f aca="false">0/$H$3</f>
        <v>0</v>
      </c>
      <c r="J11" s="14" t="n">
        <v>0.794238683127572</v>
      </c>
      <c r="K11" s="15" t="n">
        <f aca="false">0/$J$3</f>
        <v>0</v>
      </c>
      <c r="L11" s="14" t="n">
        <v>0.71244635193133</v>
      </c>
      <c r="M11" s="15" t="n">
        <f aca="false">0/$L$3</f>
        <v>0</v>
      </c>
      <c r="N11" s="14" t="n">
        <v>0.533333333333333</v>
      </c>
      <c r="O11" s="15" t="n">
        <f aca="false">0/$N$3</f>
        <v>0</v>
      </c>
      <c r="P11" s="24" t="n">
        <v>0.115675852676348</v>
      </c>
      <c r="Q11" s="14" t="n">
        <v>1.05320394846913</v>
      </c>
      <c r="R11" s="25" t="n">
        <v>0.029</v>
      </c>
      <c r="S11" s="15" t="n">
        <f aca="false">1622/$P$3</f>
        <v>0.811</v>
      </c>
    </row>
    <row r="12" customFormat="false" ht="12.65" hidden="false" customHeight="false" outlineLevel="0" collapsed="false">
      <c r="A12" s="26" t="s">
        <v>14</v>
      </c>
      <c r="B12" s="12" t="s">
        <v>15</v>
      </c>
      <c r="C12" s="13" t="n">
        <f aca="false">AVERAGE(D12,F12,H12,J12,L12,N12)</f>
        <v>0.788767850351213</v>
      </c>
      <c r="D12" s="14" t="n">
        <v>0.407294903742362</v>
      </c>
      <c r="E12" s="15" t="n">
        <f aca="false">0/$D$3</f>
        <v>0</v>
      </c>
      <c r="F12" s="14" t="n">
        <v>0.97</v>
      </c>
      <c r="G12" s="15" t="n">
        <f aca="false">0/$F$3</f>
        <v>0</v>
      </c>
      <c r="H12" s="14" t="n">
        <v>0.786407766990291</v>
      </c>
      <c r="I12" s="15" t="n">
        <f aca="false">0/$H$3</f>
        <v>0</v>
      </c>
      <c r="J12" s="14" t="n">
        <v>0.97119341563786</v>
      </c>
      <c r="K12" s="15" t="n">
        <f aca="false">0/$J$3</f>
        <v>0</v>
      </c>
      <c r="L12" s="14" t="n">
        <v>0.664377682403433</v>
      </c>
      <c r="M12" s="15" t="n">
        <f aca="false">0/$L$3</f>
        <v>0</v>
      </c>
      <c r="N12" s="14" t="n">
        <v>0.933333333333333</v>
      </c>
      <c r="O12" s="15" t="n">
        <f aca="false">0/$N$3</f>
        <v>0</v>
      </c>
      <c r="P12" s="24" t="n">
        <v>0.115200017751442</v>
      </c>
      <c r="Q12" s="14" t="n">
        <v>1.10688504230381</v>
      </c>
      <c r="R12" s="25" t="n">
        <v>0.062</v>
      </c>
      <c r="S12" s="15" t="n">
        <v>0</v>
      </c>
    </row>
    <row r="13" customFormat="false" ht="12.65" hidden="false" customHeight="false" outlineLevel="0" collapsed="false">
      <c r="A13" s="23" t="s">
        <v>48</v>
      </c>
      <c r="B13" s="12" t="s">
        <v>49</v>
      </c>
      <c r="C13" s="13" t="n">
        <f aca="false">AVERAGE(D13,F13,H13,J13,L13,N13)</f>
        <v>0.676702878695425</v>
      </c>
      <c r="D13" s="14" t="n">
        <v>0.239471505479651</v>
      </c>
      <c r="E13" s="15" t="n">
        <f aca="false">65/$D$3</f>
        <v>0.0714285714285714</v>
      </c>
      <c r="F13" s="14" t="n">
        <v>0.96</v>
      </c>
      <c r="G13" s="15" t="n">
        <f aca="false">0/$F$3</f>
        <v>0</v>
      </c>
      <c r="H13" s="14" t="n">
        <v>0.601941747572816</v>
      </c>
      <c r="I13" s="15" t="n">
        <f aca="false">0/$H$3</f>
        <v>0</v>
      </c>
      <c r="J13" s="14" t="n">
        <v>0.888888888888889</v>
      </c>
      <c r="K13" s="15" t="n">
        <f aca="false">0/$J$3</f>
        <v>0</v>
      </c>
      <c r="L13" s="14" t="n">
        <v>0.70324846356453</v>
      </c>
      <c r="M13" s="15" t="n">
        <f aca="false">26/$L$3</f>
        <v>0.0223175965665236</v>
      </c>
      <c r="N13" s="14" t="n">
        <v>0.666666666666667</v>
      </c>
      <c r="O13" s="15" t="n">
        <f aca="false">0/$N$3</f>
        <v>0</v>
      </c>
      <c r="P13" s="24" t="n">
        <v>0.114080663228868</v>
      </c>
      <c r="Q13" s="14" t="n">
        <v>1.03143346379648</v>
      </c>
      <c r="R13" s="25" t="n">
        <v>0.045</v>
      </c>
      <c r="S13" s="15" t="n">
        <f aca="false">120/$P$3</f>
        <v>0.06</v>
      </c>
    </row>
    <row r="14" customFormat="false" ht="12.65" hidden="false" customHeight="false" outlineLevel="0" collapsed="false">
      <c r="A14" s="23" t="s">
        <v>76</v>
      </c>
      <c r="B14" s="12" t="s">
        <v>77</v>
      </c>
      <c r="C14" s="13" t="n">
        <f aca="false">AVERAGE(D14,F14,H14,J14,L14,N14)</f>
        <v>0.496149399342811</v>
      </c>
      <c r="D14" s="14" t="n">
        <v>0</v>
      </c>
      <c r="E14" s="15" t="n">
        <f aca="false">0/$D$3</f>
        <v>0</v>
      </c>
      <c r="F14" s="14" t="n">
        <v>0.49</v>
      </c>
      <c r="G14" s="15" t="n">
        <f aca="false">0/$F$3</f>
        <v>0</v>
      </c>
      <c r="H14" s="14" t="n">
        <v>0.572815533980583</v>
      </c>
      <c r="I14" s="15" t="n">
        <f aca="false">0/$H$3</f>
        <v>0</v>
      </c>
      <c r="J14" s="14" t="n">
        <v>0.670781893004115</v>
      </c>
      <c r="K14" s="15" t="n">
        <f aca="false">0/$J$3</f>
        <v>0</v>
      </c>
      <c r="L14" s="14" t="n">
        <v>0.693298969072165</v>
      </c>
      <c r="M14" s="15" t="n">
        <f aca="false">1/$L$3</f>
        <v>0.000858369098712446</v>
      </c>
      <c r="N14" s="14" t="n">
        <v>0.55</v>
      </c>
      <c r="O14" s="15" t="n">
        <f aca="false">0/$N$3</f>
        <v>0</v>
      </c>
      <c r="P14" s="24" t="n">
        <v>0.113227204219314</v>
      </c>
      <c r="Q14" s="14" t="n">
        <v>1.02468032181585</v>
      </c>
      <c r="R14" s="25" t="n">
        <v>0.029</v>
      </c>
      <c r="S14" s="15" t="n">
        <f aca="false">3/$P$3</f>
        <v>0.0015</v>
      </c>
    </row>
    <row r="15" customFormat="false" ht="12.65" hidden="false" customHeight="false" outlineLevel="0" collapsed="false">
      <c r="A15" s="23" t="s">
        <v>36</v>
      </c>
      <c r="B15" s="12" t="s">
        <v>37</v>
      </c>
      <c r="C15" s="13" t="n">
        <f aca="false">AVERAGE(D15,F15,H15,J15,L15,N15)</f>
        <v>0.727327292040359</v>
      </c>
      <c r="D15" s="14" t="n">
        <v>0.364133014097317</v>
      </c>
      <c r="E15" s="15" t="n">
        <f aca="false">0/$D$3</f>
        <v>0</v>
      </c>
      <c r="F15" s="14" t="n">
        <v>0.947368421052632</v>
      </c>
      <c r="G15" s="15" t="n">
        <f aca="false">5/$F$3</f>
        <v>0.05</v>
      </c>
      <c r="H15" s="14" t="n">
        <v>0.766990291262136</v>
      </c>
      <c r="I15" s="15" t="n">
        <f aca="false">0/$H$3</f>
        <v>0</v>
      </c>
      <c r="J15" s="14" t="n">
        <v>0.909465020576132</v>
      </c>
      <c r="K15" s="15" t="n">
        <f aca="false">0/$J$3</f>
        <v>0</v>
      </c>
      <c r="L15" s="14" t="n">
        <v>0.67600700525394</v>
      </c>
      <c r="M15" s="15" t="n">
        <f aca="false">23/$L$3</f>
        <v>0.0197424892703863</v>
      </c>
      <c r="N15" s="14" t="n">
        <v>0.7</v>
      </c>
      <c r="O15" s="15" t="n">
        <f aca="false">0/$N$3</f>
        <v>0</v>
      </c>
      <c r="P15" s="24" t="n">
        <v>0.11250845895661</v>
      </c>
      <c r="Q15" s="14" t="n">
        <v>1.029565082082</v>
      </c>
      <c r="R15" s="25" t="n">
        <v>0.032</v>
      </c>
      <c r="S15" s="15" t="n">
        <f aca="false">6/$P$3</f>
        <v>0.003</v>
      </c>
    </row>
    <row r="16" customFormat="false" ht="12.65" hidden="false" customHeight="false" outlineLevel="0" collapsed="false">
      <c r="A16" s="23" t="s">
        <v>46</v>
      </c>
      <c r="B16" s="12" t="s">
        <v>47</v>
      </c>
      <c r="C16" s="13" t="n">
        <f aca="false">AVERAGE(D16,F16,H16,J16,L16,N16)</f>
        <v>0.638271124199327</v>
      </c>
      <c r="D16" s="14" t="n">
        <v>0.299012648963897</v>
      </c>
      <c r="E16" s="15" t="n">
        <f aca="false">0/$D$3</f>
        <v>0</v>
      </c>
      <c r="F16" s="14" t="n">
        <v>0.76</v>
      </c>
      <c r="G16" s="15" t="n">
        <f aca="false">0/$F$3</f>
        <v>0</v>
      </c>
      <c r="H16" s="14" t="n">
        <v>0.504854368932039</v>
      </c>
      <c r="I16" s="15" t="n">
        <f aca="false">0/$H$3</f>
        <v>0</v>
      </c>
      <c r="J16" s="14" t="n">
        <v>0.909465020576132</v>
      </c>
      <c r="K16" s="15" t="n">
        <f aca="false">0/$J$3</f>
        <v>0</v>
      </c>
      <c r="L16" s="14" t="n">
        <v>0.672961373390558</v>
      </c>
      <c r="M16" s="15" t="n">
        <f aca="false">0/$L$3</f>
        <v>0</v>
      </c>
      <c r="N16" s="14" t="n">
        <v>0.683333333333333</v>
      </c>
      <c r="O16" s="15" t="n">
        <f aca="false">0/$N$3</f>
        <v>0</v>
      </c>
      <c r="P16" s="24" t="n">
        <v>0.112413536999256</v>
      </c>
      <c r="Q16" s="14" t="n">
        <v>1.04529224559497</v>
      </c>
      <c r="R16" s="25" t="n">
        <v>0.029</v>
      </c>
      <c r="S16" s="15" t="n">
        <f aca="false">0/$P$3</f>
        <v>0</v>
      </c>
    </row>
    <row r="17" customFormat="false" ht="12.65" hidden="false" customHeight="false" outlineLevel="0" collapsed="false">
      <c r="A17" s="23" t="s">
        <v>20</v>
      </c>
      <c r="B17" s="12" t="s">
        <v>21</v>
      </c>
      <c r="C17" s="13" t="n">
        <f aca="false">AVERAGE(D17,F17,H17,J17,L17,N17)</f>
        <v>0.72534920520543</v>
      </c>
      <c r="D17" s="14" t="n">
        <v>0.360234811989513</v>
      </c>
      <c r="E17" s="15" t="n">
        <f aca="false">0/$D$3</f>
        <v>0</v>
      </c>
      <c r="F17" s="14" t="n">
        <v>0.935483870967742</v>
      </c>
      <c r="G17" s="15" t="n">
        <f aca="false">7/$F$3</f>
        <v>0.07</v>
      </c>
      <c r="H17" s="14" t="n">
        <v>0.669902912621359</v>
      </c>
      <c r="I17" s="15" t="n">
        <f aca="false">0/$H$3</f>
        <v>0</v>
      </c>
      <c r="J17" s="14" t="n">
        <v>0.930735930735931</v>
      </c>
      <c r="K17" s="15" t="n">
        <f aca="false">12/$J$3</f>
        <v>0.0493827160493827</v>
      </c>
      <c r="L17" s="14" t="n">
        <v>0.655737704918033</v>
      </c>
      <c r="M17" s="15" t="n">
        <f aca="false">6/$L$3</f>
        <v>0.00515021459227468</v>
      </c>
      <c r="N17" s="14" t="n">
        <v>0.8</v>
      </c>
      <c r="O17" s="15" t="n">
        <f aca="false">0/$N$3</f>
        <v>0</v>
      </c>
      <c r="P17" s="24" t="n">
        <v>0.10364767539433</v>
      </c>
      <c r="Q17" s="14" t="n">
        <v>1.04518848044954</v>
      </c>
      <c r="R17" s="25" t="n">
        <v>0.052</v>
      </c>
      <c r="S17" s="15" t="n">
        <f aca="false">12/$P$3</f>
        <v>0.006</v>
      </c>
    </row>
    <row r="18" customFormat="false" ht="12.65" hidden="false" customHeight="false" outlineLevel="0" collapsed="false">
      <c r="A18" s="23" t="s">
        <v>28</v>
      </c>
      <c r="B18" s="12" t="s">
        <v>29</v>
      </c>
      <c r="C18" s="13" t="n">
        <f aca="false">AVERAGE(D18,F18,H18,J18,L18,N18)</f>
        <v>0.689599573688712</v>
      </c>
      <c r="D18" s="14" t="n">
        <v>0.324446880476387</v>
      </c>
      <c r="E18" s="15" t="n">
        <f aca="false">0/$D$3</f>
        <v>0</v>
      </c>
      <c r="F18" s="14" t="n">
        <v>0.929292929292929</v>
      </c>
      <c r="G18" s="15" t="n">
        <f aca="false">1/$F$3</f>
        <v>0.01</v>
      </c>
      <c r="H18" s="14" t="n">
        <v>0.621359223300971</v>
      </c>
      <c r="I18" s="15" t="n">
        <f aca="false">0/$H$3</f>
        <v>0</v>
      </c>
      <c r="J18" s="14" t="n">
        <v>0.938271604938272</v>
      </c>
      <c r="K18" s="15" t="n">
        <f aca="false">0/$J$3</f>
        <v>0</v>
      </c>
      <c r="L18" s="14" t="n">
        <v>0.640893470790378</v>
      </c>
      <c r="M18" s="15" t="n">
        <f aca="false">1/$L$3</f>
        <v>0.000858369098712446</v>
      </c>
      <c r="N18" s="14" t="n">
        <v>0.683333333333333</v>
      </c>
      <c r="O18" s="15" t="n">
        <f aca="false">0/$N$3</f>
        <v>0</v>
      </c>
      <c r="P18" s="24" t="n">
        <v>0.099033629067191</v>
      </c>
      <c r="Q18" s="14" t="n">
        <v>1.19661569510207</v>
      </c>
      <c r="R18" s="25" t="n">
        <v>0.05</v>
      </c>
      <c r="S18" s="15" t="n">
        <f aca="false">0/$P$3</f>
        <v>0</v>
      </c>
    </row>
    <row r="19" customFormat="false" ht="12.65" hidden="false" customHeight="false" outlineLevel="0" collapsed="false">
      <c r="A19" s="23" t="s">
        <v>30</v>
      </c>
      <c r="B19" s="12" t="s">
        <v>31</v>
      </c>
      <c r="C19" s="13" t="n">
        <f aca="false">AVERAGE(D19,F19,H19,J19,L19,N19)</f>
        <v>0.704890768510769</v>
      </c>
      <c r="D19" s="14" t="n">
        <v>0.294650431313126</v>
      </c>
      <c r="E19" s="15" t="n">
        <f aca="false">0/$D$3</f>
        <v>0</v>
      </c>
      <c r="F19" s="14" t="n">
        <v>0.93</v>
      </c>
      <c r="G19" s="15" t="n">
        <f aca="false">0/$F$3</f>
        <v>0</v>
      </c>
      <c r="H19" s="14" t="n">
        <v>0.796116504854369</v>
      </c>
      <c r="I19" s="15" t="n">
        <f aca="false">0/$H$3</f>
        <v>0</v>
      </c>
      <c r="J19" s="14" t="n">
        <v>0.897119341563786</v>
      </c>
      <c r="K19" s="15" t="n">
        <f aca="false">0/$J$3</f>
        <v>0</v>
      </c>
      <c r="L19" s="14" t="n">
        <v>0.661458333333333</v>
      </c>
      <c r="M19" s="15" t="n">
        <f aca="false">13/$L$3</f>
        <v>0.0111587982832618</v>
      </c>
      <c r="N19" s="14" t="n">
        <v>0.65</v>
      </c>
      <c r="O19" s="15" t="n">
        <f aca="false">0/$N$3</f>
        <v>0</v>
      </c>
      <c r="P19" s="24" t="n">
        <v>0.0980833134389221</v>
      </c>
      <c r="Q19" s="14" t="n">
        <v>1.06431297709924</v>
      </c>
      <c r="R19" s="25" t="n">
        <v>0.034</v>
      </c>
      <c r="S19" s="15" t="n">
        <f aca="false">427/$P$3</f>
        <v>0.2135</v>
      </c>
    </row>
    <row r="20" customFormat="false" ht="12.65" hidden="false" customHeight="false" outlineLevel="0" collapsed="false">
      <c r="A20" s="23" t="s">
        <v>34</v>
      </c>
      <c r="B20" s="12" t="s">
        <v>35</v>
      </c>
      <c r="C20" s="13" t="n">
        <f aca="false">AVERAGE(D20,F20,H20,J20,L20,N20)</f>
        <v>0.746646990812939</v>
      </c>
      <c r="D20" s="14" t="n">
        <v>0.43041610578518</v>
      </c>
      <c r="E20" s="15" t="n">
        <f aca="false">0/$D$3</f>
        <v>0</v>
      </c>
      <c r="F20" s="14" t="n">
        <v>0.929292929292929</v>
      </c>
      <c r="G20" s="15" t="n">
        <f aca="false">1/$F$3</f>
        <v>0.01</v>
      </c>
      <c r="H20" s="14" t="n">
        <v>0.737864077669903</v>
      </c>
      <c r="I20" s="15" t="n">
        <f aca="false">0/$H$3</f>
        <v>0</v>
      </c>
      <c r="J20" s="14" t="n">
        <v>0.872427983539095</v>
      </c>
      <c r="K20" s="15" t="n">
        <f aca="false">0/$J$3</f>
        <v>0</v>
      </c>
      <c r="L20" s="14" t="n">
        <v>0.676547515257193</v>
      </c>
      <c r="M20" s="15" t="n">
        <f aca="false">18/$L$3</f>
        <v>0.015450643776824</v>
      </c>
      <c r="N20" s="14" t="n">
        <v>0.833333333333333</v>
      </c>
      <c r="O20" s="15" t="n">
        <f aca="false">0/$N$3</f>
        <v>0</v>
      </c>
      <c r="P20" s="24" t="n">
        <v>0.0954311625486168</v>
      </c>
      <c r="Q20" s="14" t="n">
        <v>1.07805990095118</v>
      </c>
      <c r="R20" s="25" t="n">
        <v>0.093</v>
      </c>
      <c r="S20" s="15" t="n">
        <f aca="false">39/$P$3</f>
        <v>0.0195</v>
      </c>
    </row>
    <row r="21" customFormat="false" ht="12.65" hidden="false" customHeight="false" outlineLevel="0" collapsed="false">
      <c r="A21" s="23" t="s">
        <v>32</v>
      </c>
      <c r="B21" s="12" t="s">
        <v>33</v>
      </c>
      <c r="C21" s="13" t="n">
        <f aca="false">AVERAGE(D21,F21,H21,J21,L21,N21)</f>
        <v>0.669008438397842</v>
      </c>
      <c r="D21" s="14" t="n">
        <v>0.305074571076726</v>
      </c>
      <c r="E21" s="15" t="n">
        <f aca="false">0/$D$3</f>
        <v>0</v>
      </c>
      <c r="F21" s="14" t="n">
        <v>0.88</v>
      </c>
      <c r="G21" s="15" t="n">
        <f aca="false">0/$F$3</f>
        <v>0</v>
      </c>
      <c r="H21" s="14" t="n">
        <v>0.54368932038835</v>
      </c>
      <c r="I21" s="15" t="n">
        <f aca="false">0/$H$3</f>
        <v>0</v>
      </c>
      <c r="J21" s="14" t="n">
        <v>0.905349794238683</v>
      </c>
      <c r="K21" s="15" t="n">
        <f aca="false">0/$J$3</f>
        <v>0</v>
      </c>
      <c r="L21" s="14" t="n">
        <v>0.646603611349957</v>
      </c>
      <c r="M21" s="15" t="n">
        <f aca="false">2/$L$3</f>
        <v>0.00171673819742489</v>
      </c>
      <c r="N21" s="14" t="n">
        <v>0.733333333333333</v>
      </c>
      <c r="O21" s="15" t="n">
        <f aca="false">0/$N$3</f>
        <v>0</v>
      </c>
      <c r="P21" s="24" t="n">
        <v>0.095191296363595</v>
      </c>
      <c r="Q21" s="14" t="n">
        <v>1.06485290693162</v>
      </c>
      <c r="R21" s="25" t="n">
        <v>0.072</v>
      </c>
      <c r="S21" s="15" t="n">
        <f aca="false">0/$P$3</f>
        <v>0</v>
      </c>
    </row>
    <row r="22" customFormat="false" ht="12.65" hidden="false" customHeight="false" outlineLevel="0" collapsed="false">
      <c r="A22" s="16" t="s">
        <v>40</v>
      </c>
      <c r="B22" s="12" t="s">
        <v>41</v>
      </c>
      <c r="C22" s="13" t="n">
        <f aca="false">AVERAGE(D22,F22,H22,J22,L22,N22)</f>
        <v>0.449693612435578</v>
      </c>
      <c r="D22" s="14" t="n">
        <v>0.204119502057382</v>
      </c>
      <c r="E22" s="15" t="n">
        <f aca="false">0/$D$3</f>
        <v>0</v>
      </c>
      <c r="F22" s="14" t="n">
        <v>0.46</v>
      </c>
      <c r="G22" s="15" t="n">
        <f aca="false">0/$F$3</f>
        <v>0</v>
      </c>
      <c r="H22" s="14" t="n">
        <v>0.368932038834951</v>
      </c>
      <c r="I22" s="15" t="n">
        <f aca="false">0/$H$3</f>
        <v>0</v>
      </c>
      <c r="J22" s="14" t="n">
        <v>0.442148760330579</v>
      </c>
      <c r="K22" s="15" t="n">
        <f aca="false">1/$J$3</f>
        <v>0.00411522633744856</v>
      </c>
      <c r="L22" s="14" t="n">
        <v>0.672961373390558</v>
      </c>
      <c r="M22" s="15" t="n">
        <f aca="false">0/$L$3</f>
        <v>0</v>
      </c>
      <c r="N22" s="14" t="n">
        <v>0.55</v>
      </c>
      <c r="O22" s="15" t="n">
        <f aca="false">0/$N$3</f>
        <v>0</v>
      </c>
      <c r="P22" s="24" t="n">
        <v>0.0946010077074703</v>
      </c>
      <c r="Q22" s="14" t="n">
        <v>0.950708101886604</v>
      </c>
      <c r="R22" s="25" t="n">
        <v>0.036</v>
      </c>
      <c r="S22" s="15" t="n">
        <f aca="false">506/$P$3</f>
        <v>0.253</v>
      </c>
    </row>
    <row r="23" customFormat="false" ht="12.65" hidden="false" customHeight="false" outlineLevel="0" collapsed="false">
      <c r="A23" s="23" t="s">
        <v>97</v>
      </c>
      <c r="B23" s="12" t="s">
        <v>98</v>
      </c>
      <c r="C23" s="13" t="n">
        <f aca="false">AVERAGE(D23,F23,H23,J23,L23,N23)</f>
        <v>0.701865075236216</v>
      </c>
      <c r="D23" s="14" t="n">
        <v>0.243313944441642</v>
      </c>
      <c r="E23" s="15" t="n">
        <f aca="false">86/$D$3</f>
        <v>0.0945054945054945</v>
      </c>
      <c r="F23" s="14" t="n">
        <v>0.918367346938776</v>
      </c>
      <c r="G23" s="15" t="n">
        <f aca="false">2/$F$3</f>
        <v>0.02</v>
      </c>
      <c r="H23" s="14" t="n">
        <v>0.715686274509804</v>
      </c>
      <c r="I23" s="15" t="n">
        <f aca="false">1/$H$3</f>
        <v>0.00970873786407767</v>
      </c>
      <c r="J23" s="14" t="n">
        <v>0.929166666666667</v>
      </c>
      <c r="K23" s="15" t="n">
        <f aca="false">3/$J$3</f>
        <v>0.0123456790123457</v>
      </c>
      <c r="L23" s="14" t="n">
        <v>0.667814113597246</v>
      </c>
      <c r="M23" s="15" t="n">
        <f aca="false">3/$L$3</f>
        <v>0.00257510729613734</v>
      </c>
      <c r="N23" s="14" t="n">
        <v>0.736842105263158</v>
      </c>
      <c r="O23" s="15" t="n">
        <f aca="false">3/$N$3</f>
        <v>0.05</v>
      </c>
      <c r="P23" s="24" t="n">
        <v>0.0888432224135543</v>
      </c>
      <c r="Q23" s="14" t="n">
        <v>1.18858185205309</v>
      </c>
      <c r="R23" s="25" t="n">
        <v>0.035</v>
      </c>
      <c r="S23" s="15" t="n">
        <f aca="false">0/$P$3</f>
        <v>0</v>
      </c>
    </row>
    <row r="24" customFormat="false" ht="12.65" hidden="false" customHeight="false" outlineLevel="0" collapsed="false">
      <c r="A24" s="16" t="s">
        <v>42</v>
      </c>
      <c r="B24" s="12" t="s">
        <v>43</v>
      </c>
      <c r="C24" s="13" t="n">
        <f aca="false">AVERAGE(D24,F24,H24,J24,L24,N24)</f>
        <v>0.446939595430147</v>
      </c>
      <c r="D24" s="14" t="n">
        <v>0.214844642079834</v>
      </c>
      <c r="E24" s="15" t="n">
        <f aca="false">0/$D$3</f>
        <v>0</v>
      </c>
      <c r="F24" s="14" t="n">
        <v>0.47</v>
      </c>
      <c r="G24" s="15" t="n">
        <f aca="false">0/$F$3</f>
        <v>0</v>
      </c>
      <c r="H24" s="14" t="n">
        <v>0.310679611650485</v>
      </c>
      <c r="I24" s="15" t="n">
        <f aca="false">0/$H$3</f>
        <v>0</v>
      </c>
      <c r="J24" s="14" t="n">
        <v>0.448559670781893</v>
      </c>
      <c r="K24" s="15" t="n">
        <f aca="false">0/$J$3</f>
        <v>0</v>
      </c>
      <c r="L24" s="14" t="n">
        <v>0.68755364806867</v>
      </c>
      <c r="M24" s="15" t="n">
        <f aca="false">0/$L$3</f>
        <v>0</v>
      </c>
      <c r="N24" s="14" t="n">
        <v>0.55</v>
      </c>
      <c r="O24" s="15" t="n">
        <f aca="false">0/$N$3</f>
        <v>0</v>
      </c>
      <c r="P24" s="24" t="n">
        <v>0.0869997613324107</v>
      </c>
      <c r="Q24" s="14" t="n">
        <v>1.1923877607133</v>
      </c>
      <c r="R24" s="25" t="n">
        <v>0.035</v>
      </c>
      <c r="S24" s="15" t="n">
        <f aca="false">28/$P$3</f>
        <v>0.014</v>
      </c>
    </row>
    <row r="25" customFormat="false" ht="12.65" hidden="false" customHeight="false" outlineLevel="0" collapsed="false">
      <c r="A25" s="16" t="s">
        <v>18</v>
      </c>
      <c r="B25" s="12" t="s">
        <v>19</v>
      </c>
      <c r="C25" s="13" t="n">
        <f aca="false">AVERAGE(D25,F25,H25,J25,L25,N25)</f>
        <v>0.456362837616999</v>
      </c>
      <c r="D25" s="14" t="n">
        <v>0.304699117807113</v>
      </c>
      <c r="E25" s="15" t="n">
        <f aca="false">0/$D$3</f>
        <v>0</v>
      </c>
      <c r="F25" s="14" t="n">
        <v>0.466666666666667</v>
      </c>
      <c r="G25" s="15" t="n">
        <f aca="false">25/$F$3</f>
        <v>0.25</v>
      </c>
      <c r="H25" s="14" t="n">
        <v>0.349514563106796</v>
      </c>
      <c r="I25" s="15" t="n">
        <f aca="false">0/$H$3</f>
        <v>0</v>
      </c>
      <c r="J25" s="14" t="n">
        <v>0.444444444444444</v>
      </c>
      <c r="K25" s="15" t="n">
        <f aca="false">0/$J$3</f>
        <v>0</v>
      </c>
      <c r="L25" s="14" t="n">
        <v>0.622852233676976</v>
      </c>
      <c r="M25" s="15" t="n">
        <f aca="false">1/$L$3</f>
        <v>0.000858369098712446</v>
      </c>
      <c r="N25" s="14" t="n">
        <v>0.55</v>
      </c>
      <c r="O25" s="15" t="n">
        <f aca="false">0/$N$3</f>
        <v>0</v>
      </c>
      <c r="P25" s="24" t="n">
        <v>0.0704660506880692</v>
      </c>
      <c r="Q25" s="14" t="n">
        <v>1.10242179616549</v>
      </c>
      <c r="R25" s="25" t="n">
        <v>0.083</v>
      </c>
      <c r="S25" s="15" t="n">
        <f aca="false">0/$P$3</f>
        <v>0</v>
      </c>
    </row>
    <row r="26" customFormat="false" ht="12.65" hidden="false" customHeight="false" outlineLevel="0" collapsed="false">
      <c r="A26" s="26" t="s">
        <v>54</v>
      </c>
      <c r="B26" s="12" t="s">
        <v>55</v>
      </c>
      <c r="C26" s="13" t="n">
        <f aca="false">AVERAGE(D26,F26,H26,J26,L26,N26)</f>
        <v>0.685621960878063</v>
      </c>
      <c r="D26" s="14" t="n">
        <v>0.191066178152082</v>
      </c>
      <c r="E26" s="15" t="n">
        <f aca="false">0/$D$3</f>
        <v>0</v>
      </c>
      <c r="F26" s="14" t="n">
        <v>0.86</v>
      </c>
      <c r="G26" s="15" t="n">
        <f aca="false">0/$F$3</f>
        <v>0</v>
      </c>
      <c r="H26" s="14" t="n">
        <v>0.783783783783784</v>
      </c>
      <c r="I26" s="15" t="n">
        <f aca="false">66/$H$3</f>
        <v>0.640776699029126</v>
      </c>
      <c r="J26" s="14" t="n">
        <v>0.946902654867257</v>
      </c>
      <c r="K26" s="15" t="n">
        <f aca="false">17/$J$3</f>
        <v>0.0699588477366255</v>
      </c>
      <c r="L26" s="14" t="n">
        <v>0.670962199312715</v>
      </c>
      <c r="M26" s="15" t="n">
        <f aca="false">1/$L$3</f>
        <v>0.000858369098712446</v>
      </c>
      <c r="N26" s="14" t="n">
        <v>0.661016949152542</v>
      </c>
      <c r="O26" s="15" t="n">
        <f aca="false">1/$N$3</f>
        <v>0.0166666666666667</v>
      </c>
      <c r="P26" s="24" t="n">
        <v>0.0694390815900073</v>
      </c>
      <c r="Q26" s="14" t="n">
        <v>1.13253900489017</v>
      </c>
      <c r="R26" s="25" t="n">
        <v>0.046</v>
      </c>
      <c r="S26" s="15" t="n">
        <f aca="false">0/$P$3</f>
        <v>0</v>
      </c>
    </row>
    <row r="27" customFormat="false" ht="12.65" hidden="false" customHeight="false" outlineLevel="0" collapsed="false">
      <c r="A27" s="23" t="s">
        <v>99</v>
      </c>
      <c r="B27" s="12" t="s">
        <v>100</v>
      </c>
      <c r="C27" s="13" t="n">
        <f aca="false">AVERAGE(D27,F27,H27,J27,L27,N27)</f>
        <v>0.58567313643299</v>
      </c>
      <c r="D27" s="14" t="n">
        <v>0.0863236039076067</v>
      </c>
      <c r="E27" s="15" t="n">
        <f aca="false">0/$D$3</f>
        <v>0</v>
      </c>
      <c r="F27" s="14" t="n">
        <v>0.724489795918367</v>
      </c>
      <c r="G27" s="15" t="n">
        <f aca="false">2/$F$3</f>
        <v>0.02</v>
      </c>
      <c r="H27" s="14" t="n">
        <v>0.598039215686275</v>
      </c>
      <c r="I27" s="15" t="n">
        <f aca="false">1/$H$3</f>
        <v>0.00970873786407767</v>
      </c>
      <c r="J27" s="14" t="n">
        <v>0.831275720164609</v>
      </c>
      <c r="K27" s="15" t="n">
        <f aca="false">0/$J$3</f>
        <v>0</v>
      </c>
      <c r="L27" s="14" t="n">
        <v>0.657243816254417</v>
      </c>
      <c r="M27" s="15" t="n">
        <f aca="false">33/$L$3</f>
        <v>0.0283261802575107</v>
      </c>
      <c r="N27" s="14" t="n">
        <v>0.616666666666667</v>
      </c>
      <c r="O27" s="15" t="n">
        <f aca="false">0/$N$3</f>
        <v>0</v>
      </c>
      <c r="P27" s="24" t="n">
        <v>0.067680520019806</v>
      </c>
      <c r="Q27" s="14" t="n">
        <v>1.09302957385702</v>
      </c>
      <c r="R27" s="25" t="n">
        <v>0.08</v>
      </c>
      <c r="S27" s="15" t="n">
        <f aca="false">0/$P$3</f>
        <v>0</v>
      </c>
    </row>
    <row r="28" customFormat="false" ht="12.65" hidden="false" customHeight="false" outlineLevel="0" collapsed="false">
      <c r="A28" s="16" t="s">
        <v>58</v>
      </c>
      <c r="B28" s="12" t="s">
        <v>59</v>
      </c>
      <c r="C28" s="13" t="n">
        <f aca="false">AVERAGE(D28,F28,H28,J28,L28,N28)</f>
        <v>0.478378567077423</v>
      </c>
      <c r="D28" s="14" t="n">
        <v>0.267184035681135</v>
      </c>
      <c r="E28" s="15" t="n">
        <f aca="false">0/$D$3</f>
        <v>0</v>
      </c>
      <c r="F28" s="14" t="n">
        <v>0.653846153846154</v>
      </c>
      <c r="G28" s="15" t="n">
        <f aca="false">74/$F$3</f>
        <v>0.74</v>
      </c>
      <c r="H28" s="14" t="n">
        <v>0.343137254901961</v>
      </c>
      <c r="I28" s="15" t="n">
        <f aca="false">1/$H$3</f>
        <v>0.00970873786407767</v>
      </c>
      <c r="J28" s="14" t="n">
        <v>0.444444444444444</v>
      </c>
      <c r="K28" s="15" t="n">
        <f aca="false">0/$J$3</f>
        <v>0</v>
      </c>
      <c r="L28" s="14" t="n">
        <v>0.628326180257511</v>
      </c>
      <c r="M28" s="15" t="n">
        <f aca="false">0/$L$3</f>
        <v>0</v>
      </c>
      <c r="N28" s="14" t="n">
        <v>0.533333333333333</v>
      </c>
      <c r="O28" s="15" t="n">
        <f aca="false">0/$N$3</f>
        <v>0</v>
      </c>
      <c r="P28" s="24" t="n">
        <v>0.0672850889690679</v>
      </c>
      <c r="Q28" s="14" t="n">
        <v>1.14115440228223</v>
      </c>
      <c r="R28" s="25" t="n">
        <v>0.08</v>
      </c>
      <c r="S28" s="15" t="n">
        <f aca="false">21/$P$3</f>
        <v>0.0105</v>
      </c>
    </row>
    <row r="29" customFormat="false" ht="12.65" hidden="false" customHeight="false" outlineLevel="0" collapsed="false">
      <c r="A29" s="16" t="s">
        <v>62</v>
      </c>
      <c r="B29" s="12" t="s">
        <v>63</v>
      </c>
      <c r="C29" s="13" t="n">
        <f aca="false">AVERAGE(D29,F29,H29,J29,L29,N29)</f>
        <v>0.416323225087402</v>
      </c>
      <c r="D29" s="14" t="n">
        <v>0.00078604321068414</v>
      </c>
      <c r="E29" s="15" t="n">
        <f aca="false">0/$D$3</f>
        <v>0</v>
      </c>
      <c r="F29" s="14" t="n">
        <v>0.49</v>
      </c>
      <c r="G29" s="15" t="n">
        <f aca="false">0/$F$3</f>
        <v>0</v>
      </c>
      <c r="H29" s="14" t="n">
        <v>0.368932038834951</v>
      </c>
      <c r="I29" s="15" t="n">
        <f aca="false">0/$H$3</f>
        <v>0</v>
      </c>
      <c r="J29" s="14" t="n">
        <v>0.444444444444444</v>
      </c>
      <c r="K29" s="15" t="n">
        <f aca="false">0/$J$3</f>
        <v>0</v>
      </c>
      <c r="L29" s="14" t="n">
        <v>0.643776824034335</v>
      </c>
      <c r="M29" s="15" t="n">
        <f aca="false">0/$L$3</f>
        <v>0</v>
      </c>
      <c r="N29" s="14" t="n">
        <v>0.55</v>
      </c>
      <c r="O29" s="15" t="n">
        <f aca="false">0/$N$3</f>
        <v>0</v>
      </c>
      <c r="P29" s="24" t="n">
        <v>0.0672142694158681</v>
      </c>
      <c r="Q29" s="14" t="n">
        <v>1.08084074373484</v>
      </c>
      <c r="R29" s="25" t="n">
        <v>0.068</v>
      </c>
      <c r="S29" s="15" t="n">
        <f aca="false">1817/$P$3</f>
        <v>0.9085</v>
      </c>
    </row>
    <row r="30" customFormat="false" ht="12.65" hidden="false" customHeight="false" outlineLevel="0" collapsed="false">
      <c r="A30" s="16" t="s">
        <v>56</v>
      </c>
      <c r="B30" s="12" t="s">
        <v>57</v>
      </c>
      <c r="C30" s="13" t="n">
        <f aca="false">AVERAGE(D30,F30,H30,J30,L30,N30)</f>
        <v>0.436042704459863</v>
      </c>
      <c r="D30" s="14" t="n">
        <v>0.0518271447518188</v>
      </c>
      <c r="E30" s="15" t="n">
        <f aca="false">0/$D$3</f>
        <v>0</v>
      </c>
      <c r="F30" s="14" t="n">
        <v>0.5</v>
      </c>
      <c r="G30" s="15" t="n">
        <f aca="false">0/$F$3</f>
        <v>0</v>
      </c>
      <c r="H30" s="14" t="n">
        <v>0.398058252427184</v>
      </c>
      <c r="I30" s="15" t="n">
        <f aca="false">0/$H$3</f>
        <v>0</v>
      </c>
      <c r="J30" s="14" t="n">
        <v>0.448559670781893</v>
      </c>
      <c r="K30" s="15" t="n">
        <f aca="false">0/$J$3</f>
        <v>0</v>
      </c>
      <c r="L30" s="14" t="n">
        <v>0.667811158798283</v>
      </c>
      <c r="M30" s="15" t="n">
        <f aca="false">0/$L$3</f>
        <v>0</v>
      </c>
      <c r="N30" s="14" t="n">
        <v>0.55</v>
      </c>
      <c r="O30" s="15" t="n">
        <f aca="false">0/$N$3</f>
        <v>0</v>
      </c>
      <c r="P30" s="24" t="n">
        <v>0.0666584744053729</v>
      </c>
      <c r="Q30" s="14" t="n">
        <v>1.05036977813312</v>
      </c>
      <c r="R30" s="25" t="n">
        <v>0.061</v>
      </c>
      <c r="S30" s="15" t="n">
        <f aca="false">1206/$P$3</f>
        <v>0.603</v>
      </c>
    </row>
    <row r="31" customFormat="false" ht="12.65" hidden="false" customHeight="false" outlineLevel="0" collapsed="false">
      <c r="A31" s="16" t="s">
        <v>68</v>
      </c>
      <c r="B31" s="12" t="s">
        <v>69</v>
      </c>
      <c r="C31" s="13" t="n">
        <f aca="false">AVERAGE(D31,F31,H31,J31,L31,N31)</f>
        <v>0.425537790635605</v>
      </c>
      <c r="D31" s="14" t="n">
        <v>0.128651460584234</v>
      </c>
      <c r="E31" s="15" t="n">
        <f aca="false">0/$D$3</f>
        <v>0</v>
      </c>
      <c r="F31" s="14" t="n">
        <v>0.49</v>
      </c>
      <c r="G31" s="15" t="n">
        <f aca="false">0/$F$3</f>
        <v>0</v>
      </c>
      <c r="H31" s="14" t="n">
        <v>0.320388349514563</v>
      </c>
      <c r="I31" s="15" t="n">
        <f aca="false">0/$H$3</f>
        <v>0</v>
      </c>
      <c r="J31" s="14" t="n">
        <v>0.444444444444444</v>
      </c>
      <c r="K31" s="15" t="n">
        <f aca="false">0/$J$3</f>
        <v>0</v>
      </c>
      <c r="L31" s="14" t="n">
        <v>0.619742489270386</v>
      </c>
      <c r="M31" s="15" t="n">
        <f aca="false">0/$L$3</f>
        <v>0</v>
      </c>
      <c r="N31" s="14" t="n">
        <v>0.55</v>
      </c>
      <c r="O31" s="15" t="n">
        <f aca="false">0/$N$3</f>
        <v>0</v>
      </c>
      <c r="P31" s="24" t="n">
        <v>0.0618591437609282</v>
      </c>
      <c r="Q31" s="14" t="n">
        <v>1.07679555721331</v>
      </c>
      <c r="R31" s="25" t="n">
        <v>0.045</v>
      </c>
      <c r="S31" s="15" t="n">
        <f aca="false">175/$P$3</f>
        <v>0.0875</v>
      </c>
    </row>
    <row r="32" customFormat="false" ht="12.65" hidden="false" customHeight="false" outlineLevel="0" collapsed="false">
      <c r="A32" s="11" t="s">
        <v>83</v>
      </c>
      <c r="B32" s="12" t="s">
        <v>101</v>
      </c>
      <c r="C32" s="13" t="n">
        <f aca="false">AVERAGE(D32,F32,H32,J32,L32,N32)</f>
        <v>0.424592652235</v>
      </c>
      <c r="D32" s="14" t="n">
        <v>-0.0425570189562919</v>
      </c>
      <c r="E32" s="15" t="n">
        <f aca="false">0/$D$3</f>
        <v>0</v>
      </c>
      <c r="F32" s="14" t="n">
        <v>0.49</v>
      </c>
      <c r="G32" s="15" t="n">
        <f aca="false">0/$F$3</f>
        <v>0</v>
      </c>
      <c r="H32" s="14" t="n">
        <v>0.42156862745098</v>
      </c>
      <c r="I32" s="15" t="n">
        <f aca="false">1/$H$3</f>
        <v>0.00970873786407767</v>
      </c>
      <c r="J32" s="14" t="n">
        <v>0.473251028806584</v>
      </c>
      <c r="K32" s="15" t="n">
        <f aca="false">0/$J$3</f>
        <v>0</v>
      </c>
      <c r="L32" s="14" t="n">
        <v>0.63862660944206</v>
      </c>
      <c r="M32" s="15" t="n">
        <f aca="false">0/$L$3</f>
        <v>0</v>
      </c>
      <c r="N32" s="14" t="n">
        <v>0.566666666666667</v>
      </c>
      <c r="O32" s="15" t="n">
        <f aca="false">0/$N$3</f>
        <v>0</v>
      </c>
      <c r="P32" s="24" t="n">
        <v>0.0599833472677267</v>
      </c>
      <c r="Q32" s="14" t="n">
        <v>1.22623545413329</v>
      </c>
      <c r="R32" s="25" t="n">
        <v>0.086</v>
      </c>
      <c r="S32" s="15" t="n">
        <f aca="false">611/$P$3</f>
        <v>0.3055</v>
      </c>
    </row>
    <row r="33" customFormat="false" ht="12.65" hidden="false" customHeight="false" outlineLevel="0" collapsed="false">
      <c r="A33" s="16" t="s">
        <v>70</v>
      </c>
      <c r="B33" s="12" t="s">
        <v>71</v>
      </c>
      <c r="C33" s="13" t="n">
        <f aca="false">AVERAGE(D33,F33,H33,J33,L33,N33)</f>
        <v>0.419278530088385</v>
      </c>
      <c r="D33" s="14" t="n">
        <v>-0.0155335936055105</v>
      </c>
      <c r="E33" s="15" t="n">
        <f aca="false">0/$D$3</f>
        <v>0</v>
      </c>
      <c r="F33" s="14" t="n">
        <v>0.48</v>
      </c>
      <c r="G33" s="15" t="n">
        <f aca="false">0/$F$3</f>
        <v>0</v>
      </c>
      <c r="H33" s="14" t="n">
        <v>0.368932038834951</v>
      </c>
      <c r="I33" s="15" t="n">
        <f aca="false">0/$H$3</f>
        <v>0</v>
      </c>
      <c r="J33" s="14" t="n">
        <v>0.489711934156379</v>
      </c>
      <c r="K33" s="15" t="n">
        <f aca="false">0/$J$3</f>
        <v>0</v>
      </c>
      <c r="L33" s="14" t="n">
        <v>0.659227467811159</v>
      </c>
      <c r="M33" s="15" t="n">
        <f aca="false">0/$L$3</f>
        <v>0</v>
      </c>
      <c r="N33" s="14" t="n">
        <v>0.533333333333333</v>
      </c>
      <c r="O33" s="15" t="n">
        <f aca="false">0/$N$3</f>
        <v>0</v>
      </c>
      <c r="P33" s="24" t="n">
        <v>0.0534217525346316</v>
      </c>
      <c r="Q33" s="14" t="n">
        <v>1.26345272449499</v>
      </c>
      <c r="R33" s="25" t="n">
        <v>0.041</v>
      </c>
      <c r="S33" s="15" t="n">
        <f aca="false">213/$P$3</f>
        <v>0.1065</v>
      </c>
    </row>
    <row r="34" customFormat="false" ht="12.65" hidden="false" customHeight="false" outlineLevel="0" collapsed="false">
      <c r="A34" s="26" t="s">
        <v>102</v>
      </c>
      <c r="B34" s="12" t="s">
        <v>103</v>
      </c>
      <c r="C34" s="13" t="n">
        <f aca="false">AVERAGE(D34,F34,H34,J34,L34,N34)</f>
        <v>0.702084111983049</v>
      </c>
      <c r="D34" s="14" t="n">
        <v>0.339670458736237</v>
      </c>
      <c r="E34" s="15" t="n">
        <f aca="false">0/$D$3</f>
        <v>0</v>
      </c>
      <c r="F34" s="14" t="n">
        <v>0.919191919191919</v>
      </c>
      <c r="G34" s="15" t="n">
        <f aca="false">1/$F$3</f>
        <v>0.01</v>
      </c>
      <c r="H34" s="14" t="n">
        <v>0.679611650485437</v>
      </c>
      <c r="I34" s="15" t="n">
        <f aca="false">0/$H$3</f>
        <v>0</v>
      </c>
      <c r="J34" s="14" t="n">
        <v>0.893004115226338</v>
      </c>
      <c r="K34" s="15" t="n">
        <f aca="false">0/$J$3</f>
        <v>0</v>
      </c>
      <c r="L34" s="14" t="n">
        <v>0.664359861591696</v>
      </c>
      <c r="M34" s="15" t="n">
        <f aca="false">9/$L$3</f>
        <v>0.00772532188841202</v>
      </c>
      <c r="N34" s="14" t="n">
        <v>0.716666666666667</v>
      </c>
      <c r="O34" s="15" t="n">
        <f aca="false">0/$N$3</f>
        <v>0</v>
      </c>
      <c r="P34" s="24" t="n">
        <v>0.0519082523003493</v>
      </c>
      <c r="Q34" s="14" t="n">
        <v>2.20259256384383</v>
      </c>
      <c r="R34" s="25" t="n">
        <v>0.032</v>
      </c>
      <c r="S34" s="15" t="n">
        <f aca="false">0/$P$3</f>
        <v>0</v>
      </c>
    </row>
    <row r="35" customFormat="false" ht="12.65" hidden="false" customHeight="false" outlineLevel="0" collapsed="false">
      <c r="A35" s="16" t="s">
        <v>44</v>
      </c>
      <c r="B35" s="12" t="s">
        <v>45</v>
      </c>
      <c r="C35" s="13" t="n">
        <f aca="false">AVERAGE(D35,F35,H35,J35,L35,N35)</f>
        <v>0.432443158810545</v>
      </c>
      <c r="D35" s="14" t="n">
        <v>0.0718486458091463</v>
      </c>
      <c r="E35" s="15" t="n">
        <f aca="false">0/$D$3</f>
        <v>0</v>
      </c>
      <c r="F35" s="14" t="n">
        <v>0.52</v>
      </c>
      <c r="G35" s="15" t="n">
        <f aca="false">0/$F$3</f>
        <v>0</v>
      </c>
      <c r="H35" s="14" t="n">
        <v>0.378640776699029</v>
      </c>
      <c r="I35" s="15" t="n">
        <f aca="false">0/$H$3</f>
        <v>0</v>
      </c>
      <c r="J35" s="14" t="n">
        <v>0.444444444444444</v>
      </c>
      <c r="K35" s="15" t="n">
        <f aca="false">0/$J$3</f>
        <v>0</v>
      </c>
      <c r="L35" s="14" t="n">
        <v>0.629725085910653</v>
      </c>
      <c r="M35" s="15" t="n">
        <f aca="false">0/$L$3</f>
        <v>0</v>
      </c>
      <c r="N35" s="14" t="n">
        <v>0.55</v>
      </c>
      <c r="O35" s="15" t="n">
        <f aca="false">0/$N$3</f>
        <v>0</v>
      </c>
      <c r="P35" s="24" t="n">
        <v>0.0497002425066837</v>
      </c>
      <c r="Q35" s="14" t="n">
        <v>1.29332825735224</v>
      </c>
      <c r="R35" s="25" t="n">
        <v>0.079</v>
      </c>
      <c r="S35" s="15" t="n">
        <f aca="false">1339/$P$3</f>
        <v>0.6695</v>
      </c>
    </row>
    <row r="36" customFormat="false" ht="12.65" hidden="false" customHeight="false" outlineLevel="0" collapsed="false">
      <c r="A36" s="16" t="s">
        <v>22</v>
      </c>
      <c r="B36" s="12" t="s">
        <v>23</v>
      </c>
      <c r="C36" s="13" t="n">
        <f aca="false">AVERAGE(D36,F36,H36,J36,L36,N36)</f>
        <v>0.439307324929851</v>
      </c>
      <c r="D36" s="14" t="n">
        <v>0.127338801833183</v>
      </c>
      <c r="E36" s="15" t="n">
        <f aca="false">0/$D$3</f>
        <v>0</v>
      </c>
      <c r="F36" s="14" t="n">
        <v>0.5</v>
      </c>
      <c r="G36" s="15" t="n">
        <f aca="false">0/$F$3</f>
        <v>0</v>
      </c>
      <c r="H36" s="14" t="n">
        <v>0.388349514563107</v>
      </c>
      <c r="I36" s="15" t="n">
        <f aca="false">0/$H$3</f>
        <v>0</v>
      </c>
      <c r="J36" s="14" t="n">
        <v>0.442148760330579</v>
      </c>
      <c r="K36" s="15" t="n">
        <f aca="false">1/$J$3</f>
        <v>0.00411522633744856</v>
      </c>
      <c r="L36" s="14" t="n">
        <v>0.628006872852234</v>
      </c>
      <c r="M36" s="15" t="n">
        <f aca="false">1/$L$3</f>
        <v>0.000858369098712446</v>
      </c>
      <c r="N36" s="14" t="n">
        <v>0.55</v>
      </c>
      <c r="O36" s="15" t="n">
        <f aca="false">0/$N$3</f>
        <v>0</v>
      </c>
      <c r="P36" s="24" t="n">
        <v>0.0462020736542011</v>
      </c>
      <c r="Q36" s="14" t="n">
        <v>1.07801109103371</v>
      </c>
      <c r="R36" s="25" t="n">
        <v>0.123</v>
      </c>
      <c r="S36" s="15" t="n">
        <f aca="false">776/$P$3</f>
        <v>0.388</v>
      </c>
    </row>
    <row r="37" customFormat="false" ht="12.65" hidden="false" customHeight="false" outlineLevel="0" collapsed="false">
      <c r="A37" s="16" t="s">
        <v>66</v>
      </c>
      <c r="B37" s="12" t="s">
        <v>67</v>
      </c>
      <c r="C37" s="13" t="n">
        <f aca="false">AVERAGE(D37,F37,H37,J37,L37,N37)</f>
        <v>0.411633605752468</v>
      </c>
      <c r="D37" s="14" t="n">
        <v>0.0289209788221949</v>
      </c>
      <c r="E37" s="15" t="n">
        <f aca="false">0/$D$3</f>
        <v>0</v>
      </c>
      <c r="F37" s="14" t="n">
        <v>0.5</v>
      </c>
      <c r="G37" s="15" t="n">
        <f aca="false">0/$F$3</f>
        <v>0</v>
      </c>
      <c r="H37" s="14" t="n">
        <v>0.281553398058252</v>
      </c>
      <c r="I37" s="15" t="n">
        <f aca="false">0/$H$3</f>
        <v>0</v>
      </c>
      <c r="J37" s="14" t="n">
        <v>0.452674897119342</v>
      </c>
      <c r="K37" s="15" t="n">
        <f aca="false">0/$J$3</f>
        <v>0</v>
      </c>
      <c r="L37" s="14" t="n">
        <v>0.656652360515021</v>
      </c>
      <c r="M37" s="15" t="n">
        <f aca="false">0/$L$3</f>
        <v>0</v>
      </c>
      <c r="N37" s="14" t="n">
        <v>0.55</v>
      </c>
      <c r="O37" s="15" t="n">
        <f aca="false">0/$N$3</f>
        <v>0</v>
      </c>
      <c r="P37" s="24" t="n">
        <v>0.0450466025027233</v>
      </c>
      <c r="Q37" s="14" t="n">
        <v>1.17910447761194</v>
      </c>
      <c r="R37" s="25" t="n">
        <v>0.135</v>
      </c>
      <c r="S37" s="15" t="n">
        <f aca="false">1829/$P$3</f>
        <v>0.9145</v>
      </c>
    </row>
    <row r="38" customFormat="false" ht="12.65" hidden="false" customHeight="false" outlineLevel="0" collapsed="false">
      <c r="A38" s="16" t="s">
        <v>52</v>
      </c>
      <c r="B38" s="12" t="s">
        <v>53</v>
      </c>
      <c r="C38" s="13" t="n">
        <f aca="false">AVERAGE(D38,F38,H38,J38,L38,N38)</f>
        <v>0.41273629360193</v>
      </c>
      <c r="D38" s="14" t="n">
        <v>0.0238941207945824</v>
      </c>
      <c r="E38" s="15" t="n">
        <f aca="false">0/$D$3</f>
        <v>0</v>
      </c>
      <c r="F38" s="14" t="n">
        <v>0.48</v>
      </c>
      <c r="G38" s="15" t="n">
        <f aca="false">0/$F$3</f>
        <v>0</v>
      </c>
      <c r="H38" s="14" t="n">
        <v>0.339805825242718</v>
      </c>
      <c r="I38" s="15" t="n">
        <f aca="false">0/$H$3</f>
        <v>0</v>
      </c>
      <c r="J38" s="14" t="n">
        <v>0.452674897119342</v>
      </c>
      <c r="K38" s="15" t="n">
        <f aca="false">0/$J$3</f>
        <v>0</v>
      </c>
      <c r="L38" s="14" t="n">
        <v>0.630042918454936</v>
      </c>
      <c r="M38" s="15" t="n">
        <f aca="false">0/$L$3</f>
        <v>0</v>
      </c>
      <c r="N38" s="14" t="n">
        <v>0.55</v>
      </c>
      <c r="O38" s="15" t="n">
        <f aca="false">0/$N$3</f>
        <v>0</v>
      </c>
      <c r="P38" s="24" t="n">
        <v>0.0372835531044292</v>
      </c>
      <c r="Q38" s="14" t="n">
        <v>1.20252219690422</v>
      </c>
      <c r="R38" s="25" t="n">
        <v>0.084</v>
      </c>
      <c r="S38" s="15" t="n">
        <f aca="false">31/$P$3</f>
        <v>0.0155</v>
      </c>
    </row>
    <row r="39" customFormat="false" ht="12.65" hidden="false" customHeight="false" outlineLevel="0" collapsed="false">
      <c r="A39" s="16" t="s">
        <v>104</v>
      </c>
      <c r="B39" s="11" t="s">
        <v>105</v>
      </c>
      <c r="C39" s="13" t="n">
        <f aca="false">AVERAGE(D39,F39,H39,J39,L39,N39)</f>
        <v>0.479783624027799</v>
      </c>
      <c r="D39" s="14" t="n">
        <v>0.369274416448439</v>
      </c>
      <c r="E39" s="15" t="n">
        <f aca="false">4/$D$3</f>
        <v>0.0043956043956044</v>
      </c>
      <c r="F39" s="14" t="n">
        <v>0.52</v>
      </c>
      <c r="G39" s="15" t="n">
        <f aca="false">0/$F$3</f>
        <v>0</v>
      </c>
      <c r="H39" s="14" t="n">
        <v>0.349514563106796</v>
      </c>
      <c r="I39" s="15" t="n">
        <f aca="false">0/$H$3</f>
        <v>0</v>
      </c>
      <c r="J39" s="14" t="n">
        <v>0.44017094017094</v>
      </c>
      <c r="K39" s="15" t="n">
        <f aca="false">9/$J$3</f>
        <v>0.037037037037037</v>
      </c>
      <c r="L39" s="14" t="n">
        <v>0.649741824440619</v>
      </c>
      <c r="M39" s="15" t="n">
        <f aca="false">3/$L$3</f>
        <v>0.00257510729613734</v>
      </c>
      <c r="N39" s="14" t="n">
        <v>0.55</v>
      </c>
      <c r="O39" s="15" t="n">
        <f aca="false">0/$N$3</f>
        <v>0</v>
      </c>
      <c r="P39" s="24" t="n">
        <v>0.0263546139456426</v>
      </c>
      <c r="Q39" s="14" t="n">
        <v>0.384891506009518</v>
      </c>
      <c r="R39" s="25" t="n">
        <v>0.08</v>
      </c>
      <c r="S39" s="15" t="n">
        <f aca="false">80/$P$3</f>
        <v>0.04</v>
      </c>
    </row>
    <row r="40" customFormat="false" ht="12.65" hidden="false" customHeight="false" outlineLevel="0" collapsed="false">
      <c r="A40" s="16" t="s">
        <v>74</v>
      </c>
      <c r="B40" s="12" t="s">
        <v>75</v>
      </c>
      <c r="C40" s="13" t="n">
        <f aca="false">AVERAGE(D40,F40,H40,J40,L40,N40)</f>
        <v>0.373693198829491</v>
      </c>
      <c r="D40" s="14" t="n">
        <v>-0.0220534635916509</v>
      </c>
      <c r="E40" s="15" t="n">
        <f aca="false">0/$D$3</f>
        <v>0</v>
      </c>
      <c r="F40" s="14" t="n">
        <v>0.47</v>
      </c>
      <c r="G40" s="15" t="n">
        <f aca="false">0/$F$3</f>
        <v>0</v>
      </c>
      <c r="H40" s="14" t="n">
        <v>0.398058252427184</v>
      </c>
      <c r="I40" s="15" t="n">
        <f aca="false">0/$H$3</f>
        <v>0</v>
      </c>
      <c r="J40" s="14" t="n">
        <v>0.452674897119342</v>
      </c>
      <c r="K40" s="15" t="n">
        <f aca="false">0/$J$3</f>
        <v>0</v>
      </c>
      <c r="L40" s="14" t="n">
        <v>0.410146173688736</v>
      </c>
      <c r="M40" s="15" t="n">
        <f aca="false">2/$L$3</f>
        <v>0.00171673819742489</v>
      </c>
      <c r="N40" s="14" t="n">
        <v>0.533333333333333</v>
      </c>
      <c r="O40" s="15" t="n">
        <f aca="false">0/$N$3</f>
        <v>0</v>
      </c>
      <c r="P40" s="24" t="n">
        <v>0.0200592465655649</v>
      </c>
      <c r="Q40" s="14" t="n">
        <v>1.33598540712567</v>
      </c>
      <c r="R40" s="25" t="n">
        <v>0.106</v>
      </c>
      <c r="S40" s="15" t="n">
        <f aca="false">0/$P$3</f>
        <v>0</v>
      </c>
    </row>
    <row r="41" customFormat="false" ht="12.65" hidden="false" customHeight="false" outlineLevel="0" collapsed="false">
      <c r="A41" s="16" t="s">
        <v>60</v>
      </c>
      <c r="B41" s="12" t="s">
        <v>61</v>
      </c>
      <c r="C41" s="13" t="n">
        <f aca="false">AVERAGE(D41,F41,H41,J41,L41,N41)</f>
        <v>0.405257833604129</v>
      </c>
      <c r="D41" s="14" t="n">
        <v>-0.0714529452409867</v>
      </c>
      <c r="E41" s="15" t="n">
        <f aca="false">0/$D$3</f>
        <v>0</v>
      </c>
      <c r="F41" s="14" t="n">
        <v>0.52</v>
      </c>
      <c r="G41" s="15" t="n">
        <f aca="false">0/$F$3</f>
        <v>0</v>
      </c>
      <c r="H41" s="14" t="n">
        <v>0.378640776699029</v>
      </c>
      <c r="I41" s="15" t="n">
        <f aca="false">0/$H$3</f>
        <v>0</v>
      </c>
      <c r="J41" s="14" t="n">
        <v>0.469135802469136</v>
      </c>
      <c r="K41" s="15" t="n">
        <f aca="false">0/$J$3</f>
        <v>0</v>
      </c>
      <c r="L41" s="14" t="n">
        <v>0.618556701030928</v>
      </c>
      <c r="M41" s="15" t="n">
        <f aca="false">1/$L$3</f>
        <v>0.000858369098712446</v>
      </c>
      <c r="N41" s="14" t="n">
        <v>0.516666666666667</v>
      </c>
      <c r="O41" s="15" t="n">
        <f aca="false">0/$N$3</f>
        <v>0</v>
      </c>
      <c r="P41" s="24" t="n">
        <v>0.018613476307488</v>
      </c>
      <c r="Q41" s="14" t="n">
        <v>1.12997748971513</v>
      </c>
      <c r="R41" s="25" t="n">
        <v>0.116</v>
      </c>
      <c r="S41" s="15" t="n">
        <f aca="false">0/$P$3</f>
        <v>0</v>
      </c>
    </row>
    <row r="42" customFormat="false" ht="12.65" hidden="false" customHeight="false" outlineLevel="0" collapsed="false">
      <c r="A42" s="16" t="s">
        <v>16</v>
      </c>
      <c r="B42" s="12" t="s">
        <v>17</v>
      </c>
      <c r="C42" s="13" t="n">
        <f aca="false">AVERAGE(D42,F42,H42,J42,L42,N42)</f>
        <v>0.451552600016098</v>
      </c>
      <c r="D42" s="14" t="n">
        <v>0.243596935892987</v>
      </c>
      <c r="E42" s="15" t="n">
        <f aca="false">0/$D$3</f>
        <v>0</v>
      </c>
      <c r="F42" s="14" t="n">
        <v>0.49</v>
      </c>
      <c r="G42" s="15" t="n">
        <f aca="false">0/$F$3</f>
        <v>0</v>
      </c>
      <c r="H42" s="14" t="n">
        <v>0.349514563106796</v>
      </c>
      <c r="I42" s="15" t="n">
        <f aca="false">0/$H$3</f>
        <v>0</v>
      </c>
      <c r="J42" s="14" t="n">
        <v>0.444444444444444</v>
      </c>
      <c r="K42" s="15" t="n">
        <f aca="false">0/$J$3</f>
        <v>0</v>
      </c>
      <c r="L42" s="14" t="n">
        <v>0.631759656652361</v>
      </c>
      <c r="M42" s="15" t="n">
        <f aca="false">0/$L$3</f>
        <v>0</v>
      </c>
      <c r="N42" s="14" t="n">
        <v>0.55</v>
      </c>
      <c r="O42" s="15" t="n">
        <f aca="false">0/$N$3</f>
        <v>0</v>
      </c>
      <c r="P42" s="24" t="n">
        <v>0.00127757499723678</v>
      </c>
      <c r="Q42" s="14" t="n">
        <v>2.02534347589847</v>
      </c>
      <c r="R42" s="25" t="n">
        <v>0.552</v>
      </c>
      <c r="S42" s="15" t="n">
        <f aca="false">0/$P$3</f>
        <v>0</v>
      </c>
    </row>
    <row r="43" customFormat="false" ht="12.65" hidden="false" customHeight="false" outlineLevel="0" collapsed="false">
      <c r="A43" s="16" t="s">
        <v>78</v>
      </c>
      <c r="B43" s="12" t="s">
        <v>79</v>
      </c>
      <c r="C43" s="13" t="n">
        <f aca="false">AVERAGE(D43,F43,H43,J43,L43,N43)</f>
        <v>0.364587789621774</v>
      </c>
      <c r="D43" s="14" t="n">
        <v>0.0266825503923221</v>
      </c>
      <c r="E43" s="15" t="n">
        <f aca="false">187/$D$3</f>
        <v>0.205494505494505</v>
      </c>
      <c r="F43" s="14" t="n">
        <v>0.461538461538462</v>
      </c>
      <c r="G43" s="15" t="n">
        <f aca="false">9/$F$3</f>
        <v>0.09</v>
      </c>
      <c r="H43" s="14" t="n">
        <v>0.237113402061856</v>
      </c>
      <c r="I43" s="15" t="n">
        <f aca="false">6/$H$3</f>
        <v>0.058252427184466</v>
      </c>
      <c r="J43" s="14" t="n">
        <v>0.558823529411765</v>
      </c>
      <c r="K43" s="15" t="n">
        <f aca="false">39/$J$3</f>
        <v>0.160493827160494</v>
      </c>
      <c r="L43" s="14" t="n">
        <v>0.403368794326241</v>
      </c>
      <c r="M43" s="15" t="n">
        <f aca="false">37/$L$3</f>
        <v>0.0317596566523605</v>
      </c>
      <c r="N43" s="14" t="n">
        <v>0.5</v>
      </c>
      <c r="O43" s="15" t="n">
        <f aca="false">2/$N$3</f>
        <v>0.0333333333333333</v>
      </c>
      <c r="P43" s="24" t="n">
        <v>0</v>
      </c>
      <c r="Q43" s="14" t="n">
        <v>1.02530466506249</v>
      </c>
      <c r="R43" s="25" t="n">
        <v>0.544</v>
      </c>
      <c r="S43" s="15" t="n">
        <f aca="false">0/$P$3</f>
        <v>0</v>
      </c>
    </row>
    <row r="44" customFormat="false" ht="12.8" hidden="false" customHeight="false" outlineLevel="0" collapsed="false"/>
    <row r="45" customFormat="false" ht="12.8" hidden="false" customHeight="false" outlineLevel="0" collapsed="false"/>
    <row r="46" customFormat="false" ht="12.8" hidden="false" customHeight="false" outlineLevel="0" collapsed="false"/>
    <row r="47" customFormat="false" ht="12.8" hidden="false" customHeight="false" outlineLevel="0" collapsed="false"/>
  </sheetData>
  <autoFilter ref="A3:S47"/>
  <mergeCells count="9">
    <mergeCell ref="D1:O1"/>
    <mergeCell ref="P1:S1"/>
    <mergeCell ref="D2:E2"/>
    <mergeCell ref="F2:G2"/>
    <mergeCell ref="H2:I2"/>
    <mergeCell ref="J2:K2"/>
    <mergeCell ref="L2:M2"/>
    <mergeCell ref="N2:O2"/>
    <mergeCell ref="P2:S2"/>
  </mergeCells>
  <conditionalFormatting sqref="S4:S43 E4:E43 G4:G43 I4:I43 K4:K43 M4:M43 O4:O43">
    <cfRule type="cellIs" priority="2" operator="greaterThan" aboveAverage="0" equalAverage="0" bottom="0" percent="0" rank="0" text="" dxfId="188">
      <formula>0</formula>
    </cfRule>
  </conditionalFormatting>
  <conditionalFormatting sqref="D4:D47">
    <cfRule type="colorScale" priority="3">
      <colorScale>
        <cfvo type="min" val="0"/>
        <cfvo type="max" val="0"/>
        <color rgb="FFFF6D6D"/>
        <color rgb="FF77BC65"/>
      </colorScale>
    </cfRule>
  </conditionalFormatting>
  <conditionalFormatting sqref="F4:F47">
    <cfRule type="colorScale" priority="4">
      <colorScale>
        <cfvo type="min" val="0"/>
        <cfvo type="max" val="0"/>
        <color rgb="FFFF6D6D"/>
        <color rgb="FF77BC65"/>
      </colorScale>
    </cfRule>
  </conditionalFormatting>
  <conditionalFormatting sqref="H4:H47">
    <cfRule type="colorScale" priority="5">
      <colorScale>
        <cfvo type="min" val="0"/>
        <cfvo type="max" val="0"/>
        <color rgb="FFFF6D6D"/>
        <color rgb="FF77BC65"/>
      </colorScale>
    </cfRule>
  </conditionalFormatting>
  <conditionalFormatting sqref="J4:J47">
    <cfRule type="colorScale" priority="6">
      <colorScale>
        <cfvo type="min" val="0"/>
        <cfvo type="max" val="0"/>
        <color rgb="FFFF6D6D"/>
        <color rgb="FF77BC65"/>
      </colorScale>
    </cfRule>
  </conditionalFormatting>
  <conditionalFormatting sqref="L4:L47">
    <cfRule type="colorScale" priority="7">
      <colorScale>
        <cfvo type="min" val="0"/>
        <cfvo type="max" val="0"/>
        <color rgb="FFFF6D6D"/>
        <color rgb="FF77BC65"/>
      </colorScale>
    </cfRule>
  </conditionalFormatting>
  <conditionalFormatting sqref="N4:N47">
    <cfRule type="colorScale" priority="8">
      <colorScale>
        <cfvo type="min" val="0"/>
        <cfvo type="max" val="0"/>
        <color rgb="FFFF6D6D"/>
        <color rgb="FF77BC65"/>
      </colorScale>
    </cfRule>
  </conditionalFormatting>
  <conditionalFormatting sqref="P4:P43">
    <cfRule type="colorScale" priority="9">
      <colorScale>
        <cfvo type="min" val="0"/>
        <cfvo type="max" val="0"/>
        <color rgb="FFFF6D6D"/>
        <color rgb="FF77BC65"/>
      </colorScale>
    </cfRule>
  </conditionalFormatting>
  <conditionalFormatting sqref="R4:R43">
    <cfRule type="colorScale" priority="10">
      <colorScale>
        <cfvo type="min" val="0"/>
        <cfvo type="max" val="0"/>
        <color rgb="FF77BC65"/>
        <color rgb="FFFF6D6D"/>
      </colorScale>
    </cfRule>
  </conditionalFormatting>
  <hyperlinks>
    <hyperlink ref="B4" r:id="rId2" display="https://ollama.com/MichelRosselli/apertus:70b-instruct-2509-q4_k_m"/>
    <hyperlink ref="B5" r:id="rId3" display="https://huggingface.co/onprem-ai/Apertus-v1.5-8B-FP8"/>
    <hyperlink ref="B6" r:id="rId4" display="https://huggingface.co/bartowski/gemma-2-27b-it-GGUF"/>
    <hyperlink ref="B7" r:id="rId5" display="https://huggingface.co/bartowski/google_gemma-3-27b-it-GGUF"/>
    <hyperlink ref="B8" r:id="rId6" display="https://ollama.com/MichelRosselli/apertus:8b-instruct-2509-q4_k_m"/>
    <hyperlink ref="B9" r:id="rId7" display="https://huggingface.co/ariel-ml/SambaLingo-Hungarian-Chat-GGUF"/>
    <hyperlink ref="B10" r:id="rId8" display="https://huggingface.co/born2bewild/Qwen3.8-27B-W4A16-AutoRound-fast"/>
    <hyperlink ref="B11" r:id="rId9" display="https://huggingface.co/RichardErkhov/BSC-LT_-_salamandra-7b-instruct-gguf"/>
    <hyperlink ref="B12" r:id="rId10" display="https://ollama.com/library/gemma4:31b"/>
    <hyperlink ref="B13" r:id="rId11" display="https://huggingface.co/bartowski/Meta-Llama-3.1-70B-Instruct-GGUF"/>
    <hyperlink ref="B14" r:id="rId12" display="https://huggingface.co/fragata/PULI-LlumiX-32K-Instruct-Q4_K_M-GGUF"/>
    <hyperlink ref="B15" r:id="rId13" display="https://huggingface.co/bartowski/gemma-2-9b-it-GGUF"/>
    <hyperlink ref="B16" r:id="rId14" display="https://ollama.com/library/glm-4.7-flash:q4_K_M"/>
    <hyperlink ref="B17" r:id="rId15" display="https://huggingface.co/unsloth/Mistral-Small-24B-Instruct-2501-GGUF"/>
    <hyperlink ref="B18" r:id="rId16" display="https://huggingface.co/RedHatAI/gemma-4-26B-A4B-it-FP8-dynamic"/>
    <hyperlink ref="B19" r:id="rId17" display="https://huggingface.co/matteogeniaccio/phi-4"/>
    <hyperlink ref="B20" r:id="rId18" display="https://huggingface.co/unsloth/Llama-3.3-70B-Instruct-GGUF"/>
    <hyperlink ref="B21" r:id="rId19" display="https://ollama.com/mirage335/Mistral-Small-3_2-24B-Instruct-2506-virtuoso"/>
    <hyperlink ref="B22" r:id="rId20" display="https://huggingface.co/TheBloke/Mixtral-8x7B-Instruct-v0.1-GGUF"/>
    <hyperlink ref="B23" r:id="rId21" display="https://ollama.com/library/gpt-oss:20b"/>
    <hyperlink ref="B24" r:id="rId22" display="https://huggingface.co/bartowski/Meta-Llama-3.1-8B-Instruct-GGUF"/>
    <hyperlink ref="B25" r:id="rId23" display="https://huggingface.co/bartowski/Qwen2.5-32B-Instruct-GGUF"/>
    <hyperlink ref="B26" r:id="rId24" display="https://huggingface.co/lovedheart/Qwen3.5-4B-FP8"/>
    <hyperlink ref="B27" r:id="rId25" display="https://ollama.com/library/aya-expanse:32b"/>
    <hyperlink ref="B28" r:id="rId26" display="https://huggingface.co/TheBloke/SOLAR-10.7B-Instruct-v1.0-GGUF"/>
    <hyperlink ref="B29" r:id="rId27" display="https://huggingface.co/bartowski/Ministral-8B-Instruct-2410-GGUF"/>
    <hyperlink ref="B30" r:id="rId28" display="https://huggingface.co/mradermacher/c4ai-command-r-v01-i1-GGUF"/>
    <hyperlink ref="B31" r:id="rId29" display="https://huggingface.co/bartowski/gemma-2-2b-it-GGUF"/>
    <hyperlink ref="B32" r:id="rId30" display="https://huggingface.co/robbiemu/salamandra-2b-instruct"/>
    <hyperlink ref="B33" r:id="rId31" display="https://huggingface.co/bartowski/Llama-3.2-3B-Instruct-GGUF"/>
    <hyperlink ref="B34" r:id="rId32" display="https://ollama.com/library/ministral-3:14b"/>
    <hyperlink ref="B35" r:id="rId33" display="https://huggingface.co/bartowski/Mistral-NeMo-Minitron-8B-Instruct-GGUF"/>
    <hyperlink ref="B36" r:id="rId34" display="https://huggingface.co/bartowski/Yi-1.5-34B-Chat-GGUF"/>
    <hyperlink ref="B37" r:id="rId35" display="https://huggingface.co/TheBloke/Llama-2-7B-32K-Instruct-GGUF"/>
    <hyperlink ref="B38" r:id="rId36" display="https://huggingface.co/bartowski/Phi-3-medium-4k-instruct-GGUF"/>
    <hyperlink ref="B40" r:id="rId37" display="https://huggingface.co/bartowski/OLMoE-1B-7B-0924-Instruct-GGUF"/>
    <hyperlink ref="B41" r:id="rId38" display="https://huggingface.co/microsoft/Phi-3-mini-4k-instruct-gguf"/>
    <hyperlink ref="B42" r:id="rId39" display="https://huggingface.co/bartowski/DeepSeek-R1-Distill-Qwen-32B-GGUF"/>
    <hyperlink ref="B43" r:id="rId40" display="https://huggingface.co/mradermacher/falcon-mamba-7b-instruct-GGUF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41"/>
  <legacyDrawing r:id="rId4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9" activeCellId="0" sqref="A9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1" style="1" width="40.74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1" t="s">
        <v>85</v>
      </c>
      <c r="D1" s="21"/>
      <c r="E1" s="21"/>
      <c r="F1" s="21"/>
    </row>
    <row r="2" customFormat="false" ht="12.8" hidden="false" customHeight="false" outlineLevel="0" collapsed="false">
      <c r="A2" s="6"/>
      <c r="B2" s="6"/>
      <c r="C2" s="21" t="s">
        <v>106</v>
      </c>
      <c r="D2" s="21"/>
      <c r="E2" s="21"/>
      <c r="F2" s="21"/>
    </row>
    <row r="3" customFormat="false" ht="12.8" hidden="false" customHeight="false" outlineLevel="0" collapsed="false">
      <c r="A3" s="11" t="n">
        <f aca="false" t="array" ref="A3:A3">SUM(IF(A4:A50&lt;&gt;"",1,0))</f>
        <v>20</v>
      </c>
      <c r="C3" s="8" t="n">
        <v>88</v>
      </c>
      <c r="D3" s="8" t="s">
        <v>93</v>
      </c>
      <c r="E3" s="22" t="s">
        <v>94</v>
      </c>
      <c r="F3" s="9" t="s">
        <v>13</v>
      </c>
    </row>
    <row r="4" customFormat="false" ht="12.8" hidden="false" customHeight="false" outlineLevel="0" collapsed="false">
      <c r="A4" s="17" t="s">
        <v>50</v>
      </c>
      <c r="B4" s="18" t="s">
        <v>51</v>
      </c>
      <c r="C4" s="24" t="n">
        <v>0.545222238313716</v>
      </c>
      <c r="D4" s="14" t="n">
        <v>1</v>
      </c>
      <c r="E4" s="25" t="n">
        <v>0.238</v>
      </c>
      <c r="F4" s="15" t="n">
        <f aca="false">0/$C$3</f>
        <v>0</v>
      </c>
    </row>
    <row r="5" customFormat="false" ht="12.8" hidden="false" customHeight="false" outlineLevel="0" collapsed="false">
      <c r="A5" s="16" t="s">
        <v>24</v>
      </c>
      <c r="B5" s="12" t="s">
        <v>25</v>
      </c>
      <c r="C5" s="24" t="n">
        <v>0.528737584103049</v>
      </c>
      <c r="D5" s="14" t="n">
        <v>1.06107954545455</v>
      </c>
      <c r="E5" s="25" t="n">
        <v>0.218</v>
      </c>
      <c r="F5" s="15" t="n">
        <f aca="false">0/$C$3</f>
        <v>0</v>
      </c>
    </row>
    <row r="6" customFormat="false" ht="12.8" hidden="false" customHeight="false" outlineLevel="0" collapsed="false">
      <c r="A6" s="16" t="s">
        <v>20</v>
      </c>
      <c r="B6" s="12" t="s">
        <v>21</v>
      </c>
      <c r="C6" s="24" t="n">
        <v>0.521185273759388</v>
      </c>
      <c r="D6" s="14" t="n">
        <v>1.00568181818182</v>
      </c>
      <c r="E6" s="25" t="n">
        <v>0.238</v>
      </c>
      <c r="F6" s="15" t="n">
        <f aca="false">0/$C$3</f>
        <v>0</v>
      </c>
    </row>
    <row r="7" customFormat="false" ht="12.8" hidden="false" customHeight="false" outlineLevel="0" collapsed="false">
      <c r="A7" s="16" t="s">
        <v>48</v>
      </c>
      <c r="B7" s="12" t="s">
        <v>49</v>
      </c>
      <c r="C7" s="24" t="n">
        <v>0.468944019791467</v>
      </c>
      <c r="D7" s="14" t="n">
        <v>1.00568181818182</v>
      </c>
      <c r="E7" s="25" t="n">
        <v>0.174</v>
      </c>
      <c r="F7" s="15" t="n">
        <f aca="false">0/$C$3</f>
        <v>0</v>
      </c>
    </row>
    <row r="8" customFormat="false" ht="12.8" hidden="false" customHeight="false" outlineLevel="0" collapsed="false">
      <c r="A8" s="16" t="s">
        <v>26</v>
      </c>
      <c r="B8" s="12" t="s">
        <v>27</v>
      </c>
      <c r="C8" s="24" t="n">
        <v>0.465474870001206</v>
      </c>
      <c r="D8" s="14" t="n">
        <v>1.01633522727273</v>
      </c>
      <c r="E8" s="25" t="n">
        <v>0.249</v>
      </c>
      <c r="F8" s="15" t="n">
        <f aca="false">0/$C$3</f>
        <v>0</v>
      </c>
    </row>
    <row r="9" customFormat="false" ht="12.8" hidden="false" customHeight="false" outlineLevel="0" collapsed="false">
      <c r="A9" s="16" t="s">
        <v>64</v>
      </c>
      <c r="B9" s="12" t="s">
        <v>65</v>
      </c>
      <c r="C9" s="24" t="n">
        <v>0.464157566260368</v>
      </c>
      <c r="D9" s="14" t="n">
        <v>1</v>
      </c>
      <c r="E9" s="25" t="n">
        <v>0.19</v>
      </c>
      <c r="F9" s="15" t="n">
        <f aca="false">0/$C$3</f>
        <v>0</v>
      </c>
    </row>
    <row r="10" customFormat="false" ht="12.8" hidden="false" customHeight="false" outlineLevel="0" collapsed="false">
      <c r="A10" s="16" t="s">
        <v>46</v>
      </c>
      <c r="B10" s="12" t="s">
        <v>47</v>
      </c>
      <c r="C10" s="24" t="n">
        <v>0.459821913461576</v>
      </c>
      <c r="D10" s="14" t="n">
        <v>1.00568181818182</v>
      </c>
      <c r="E10" s="25" t="n">
        <v>0.247</v>
      </c>
      <c r="F10" s="15" t="n">
        <f aca="false">0/$C$3</f>
        <v>0</v>
      </c>
    </row>
    <row r="11" customFormat="false" ht="12.8" hidden="false" customHeight="false" outlineLevel="0" collapsed="false">
      <c r="A11" s="16" t="s">
        <v>34</v>
      </c>
      <c r="B11" s="12" t="s">
        <v>35</v>
      </c>
      <c r="C11" s="24" t="n">
        <v>0.451205869803034</v>
      </c>
      <c r="D11" s="14" t="n">
        <v>1.02059659090909</v>
      </c>
      <c r="E11" s="25" t="n">
        <v>0.237</v>
      </c>
      <c r="F11" s="15" t="n">
        <f aca="false">0/$C$3</f>
        <v>0</v>
      </c>
    </row>
    <row r="12" customFormat="false" ht="12.8" hidden="false" customHeight="false" outlineLevel="0" collapsed="false">
      <c r="A12" s="16" t="s">
        <v>36</v>
      </c>
      <c r="B12" s="12" t="s">
        <v>37</v>
      </c>
      <c r="C12" s="24" t="n">
        <v>0.420595627761371</v>
      </c>
      <c r="D12" s="14" t="n">
        <v>1</v>
      </c>
      <c r="E12" s="25" t="n">
        <v>0.227</v>
      </c>
      <c r="F12" s="15" t="n">
        <f aca="false">0/$C$3</f>
        <v>0</v>
      </c>
    </row>
    <row r="13" customFormat="false" ht="12.8" hidden="false" customHeight="false" outlineLevel="0" collapsed="false">
      <c r="A13" s="16" t="s">
        <v>72</v>
      </c>
      <c r="B13" s="12" t="s">
        <v>73</v>
      </c>
      <c r="C13" s="24" t="n">
        <v>0.407822035664075</v>
      </c>
      <c r="D13" s="14" t="n">
        <v>1.01204819277108</v>
      </c>
      <c r="E13" s="25" t="n">
        <v>0.192</v>
      </c>
      <c r="F13" s="15" t="n">
        <f aca="false">5/$C$3</f>
        <v>0.0568181818181818</v>
      </c>
    </row>
    <row r="14" customFormat="false" ht="12.8" hidden="false" customHeight="false" outlineLevel="0" collapsed="false">
      <c r="A14" s="16" t="s">
        <v>32</v>
      </c>
      <c r="B14" s="12" t="s">
        <v>33</v>
      </c>
      <c r="C14" s="24" t="n">
        <v>0.398020311977428</v>
      </c>
      <c r="D14" s="14" t="n">
        <v>1</v>
      </c>
      <c r="E14" s="25" t="n">
        <v>0.278</v>
      </c>
      <c r="F14" s="15" t="n">
        <f aca="false">0/$C$3</f>
        <v>0</v>
      </c>
    </row>
    <row r="15" customFormat="false" ht="12.8" hidden="false" customHeight="true" outlineLevel="0" collapsed="false">
      <c r="A15" s="1" t="s">
        <v>14</v>
      </c>
      <c r="B15" s="12" t="s">
        <v>15</v>
      </c>
      <c r="C15" s="24" t="n">
        <v>0.384804745664304</v>
      </c>
      <c r="D15" s="14" t="n">
        <v>1.14701704545455</v>
      </c>
      <c r="E15" s="25" t="n">
        <v>0.294</v>
      </c>
      <c r="F15" s="15" t="n">
        <f aca="false">0/$C$3</f>
        <v>0</v>
      </c>
    </row>
    <row r="16" customFormat="false" ht="12.8" hidden="false" customHeight="true" outlineLevel="0" collapsed="false">
      <c r="A16" s="16" t="s">
        <v>38</v>
      </c>
      <c r="B16" s="12" t="s">
        <v>39</v>
      </c>
      <c r="C16" s="24" t="n">
        <v>0.334430144293014</v>
      </c>
      <c r="D16" s="14" t="n">
        <v>1.21519886363636</v>
      </c>
      <c r="E16" s="25" t="n">
        <v>0.271</v>
      </c>
      <c r="F16" s="15" t="n">
        <f aca="false">0/$C$3</f>
        <v>0</v>
      </c>
    </row>
    <row r="17" customFormat="false" ht="12.8" hidden="false" customHeight="true" outlineLevel="0" collapsed="false">
      <c r="A17" s="16" t="s">
        <v>81</v>
      </c>
      <c r="B17" s="12" t="s">
        <v>82</v>
      </c>
      <c r="C17" s="24" t="n">
        <v>0.326448804334111</v>
      </c>
      <c r="D17" s="14" t="n">
        <v>1.01491477272727</v>
      </c>
      <c r="E17" s="25" t="n">
        <v>0.158</v>
      </c>
      <c r="F17" s="15" t="n">
        <f aca="false">0/$C$3</f>
        <v>0</v>
      </c>
    </row>
    <row r="18" customFormat="false" ht="12.8" hidden="false" customHeight="true" outlineLevel="0" collapsed="false">
      <c r="A18" s="16" t="s">
        <v>28</v>
      </c>
      <c r="B18" s="12" t="s">
        <v>29</v>
      </c>
      <c r="C18" s="24" t="n">
        <v>0.152249100000325</v>
      </c>
      <c r="D18" s="14" t="n">
        <v>1.87642045454545</v>
      </c>
      <c r="E18" s="25" t="n">
        <v>0.194</v>
      </c>
      <c r="F18" s="15" t="n">
        <f aca="false">0/$C$3</f>
        <v>0</v>
      </c>
    </row>
    <row r="19" customFormat="false" ht="12.8" hidden="false" customHeight="true" outlineLevel="0" collapsed="false">
      <c r="A19" s="16" t="s">
        <v>76</v>
      </c>
      <c r="B19" s="12" t="s">
        <v>77</v>
      </c>
      <c r="C19" s="24" t="n">
        <v>0.151003586436886</v>
      </c>
      <c r="D19" s="14" t="n">
        <v>1.84195402298851</v>
      </c>
      <c r="E19" s="25" t="n">
        <v>0.166</v>
      </c>
      <c r="F19" s="15" t="n">
        <f aca="false">1/$C$3</f>
        <v>0.0113636363636364</v>
      </c>
    </row>
    <row r="20" customFormat="false" ht="12.8" hidden="false" customHeight="true" outlineLevel="0" collapsed="false">
      <c r="A20" s="1" t="s">
        <v>102</v>
      </c>
      <c r="B20" s="12" t="s">
        <v>103</v>
      </c>
      <c r="C20" s="24" t="n">
        <v>0.137016180101249</v>
      </c>
      <c r="D20" s="14" t="n">
        <v>1.94744318181818</v>
      </c>
      <c r="E20" s="25" t="n">
        <v>0.18</v>
      </c>
      <c r="F20" s="15" t="n">
        <f aca="false">0/$C$3</f>
        <v>0</v>
      </c>
    </row>
    <row r="21" customFormat="false" ht="12.8" hidden="false" customHeight="true" outlineLevel="0" collapsed="false">
      <c r="A21" s="16" t="s">
        <v>40</v>
      </c>
      <c r="B21" s="12" t="s">
        <v>41</v>
      </c>
      <c r="C21" s="24" t="n">
        <v>0.12890377983389</v>
      </c>
      <c r="D21" s="14" t="n">
        <v>2.10511363636364</v>
      </c>
      <c r="E21" s="25" t="n">
        <v>0.103</v>
      </c>
      <c r="F21" s="15" t="n">
        <f aca="false">66/$C$3</f>
        <v>0.75</v>
      </c>
    </row>
    <row r="22" customFormat="false" ht="12.8" hidden="false" customHeight="true" outlineLevel="0" collapsed="false">
      <c r="A22" s="1" t="s">
        <v>54</v>
      </c>
      <c r="B22" s="12" t="s">
        <v>55</v>
      </c>
      <c r="C22" s="24" t="n">
        <v>0.0923836732428837</v>
      </c>
      <c r="D22" s="14" t="n">
        <v>2.75994318181818</v>
      </c>
      <c r="E22" s="25" t="n">
        <v>0.185</v>
      </c>
      <c r="F22" s="15" t="n">
        <f aca="false">0/$C$3</f>
        <v>0</v>
      </c>
    </row>
    <row r="23" customFormat="false" ht="12.8" hidden="false" customHeight="true" outlineLevel="0" collapsed="false">
      <c r="A23" s="16" t="s">
        <v>30</v>
      </c>
      <c r="B23" s="12" t="s">
        <v>31</v>
      </c>
      <c r="C23" s="24" t="n">
        <v>0.0239153070240676</v>
      </c>
      <c r="D23" s="14" t="n">
        <v>3.12997159090909</v>
      </c>
      <c r="E23" s="25" t="n">
        <v>0.091</v>
      </c>
      <c r="F23" s="15" t="n">
        <f aca="false">0/$C$3</f>
        <v>0</v>
      </c>
    </row>
  </sheetData>
  <autoFilter ref="A3:F23"/>
  <mergeCells count="2">
    <mergeCell ref="C1:F1"/>
    <mergeCell ref="C2:F2"/>
  </mergeCells>
  <conditionalFormatting sqref="F4:F19 F21:F23">
    <cfRule type="cellIs" priority="2" operator="greaterThan" aboveAverage="0" equalAverage="0" bottom="0" percent="0" rank="0" text="" dxfId="188">
      <formula>0</formula>
    </cfRule>
  </conditionalFormatting>
  <conditionalFormatting sqref="C4:C19 C21:C23">
    <cfRule type="colorScale" priority="3">
      <colorScale>
        <cfvo type="min" val="0"/>
        <cfvo type="max" val="0"/>
        <color rgb="FFFF6D6D"/>
        <color rgb="FF77BC65"/>
      </colorScale>
    </cfRule>
  </conditionalFormatting>
  <conditionalFormatting sqref="E4:E19 E21:E23">
    <cfRule type="colorScale" priority="4">
      <colorScale>
        <cfvo type="min" val="0"/>
        <cfvo type="max" val="0"/>
        <color rgb="FF77BC65"/>
        <color rgb="FFFF6D6D"/>
      </colorScale>
    </cfRule>
  </conditionalFormatting>
  <conditionalFormatting sqref="F20:F23">
    <cfRule type="cellIs" priority="5" operator="greaterThan" aboveAverage="0" equalAverage="0" bottom="0" percent="0" rank="0" text="" dxfId="188">
      <formula>0</formula>
    </cfRule>
  </conditionalFormatting>
  <conditionalFormatting sqref="C20:C23">
    <cfRule type="colorScale" priority="6">
      <colorScale>
        <cfvo type="min" val="0"/>
        <cfvo type="max" val="0"/>
        <color rgb="FFFF6D6D"/>
        <color rgb="FF77BC65"/>
      </colorScale>
    </cfRule>
  </conditionalFormatting>
  <conditionalFormatting sqref="E20:E23">
    <cfRule type="colorScale" priority="7">
      <colorScale>
        <cfvo type="min" val="0"/>
        <cfvo type="max" val="0"/>
        <color rgb="FF77BC65"/>
        <color rgb="FFFF6D6D"/>
      </colorScale>
    </cfRule>
  </conditionalFormatting>
  <hyperlinks>
    <hyperlink ref="B4" r:id="rId2" display="https://huggingface.co/onprem-ai/Apertus-v1.5-8B-FP8"/>
    <hyperlink ref="B5" r:id="rId3" display="https://huggingface.co/bartowski/google_gemma-3-27b-it-GGUF"/>
    <hyperlink ref="B6" r:id="rId4" display="https://huggingface.co/unsloth/Mistral-Small-24B-Instruct-2501-GGUF"/>
    <hyperlink ref="B7" r:id="rId5" display="https://huggingface.co/bartowski/Meta-Llama-3.1-70B-Instruct-GGUF"/>
    <hyperlink ref="B8" r:id="rId6" display="https://huggingface.co/bartowski/gemma-2-27b-it-GGUF"/>
    <hyperlink ref="B9" r:id="rId7" display="https://ollama.com/MichelRosselli/apertus:8b-instruct-2509-q4_k_m"/>
    <hyperlink ref="B10" r:id="rId8" display="https://ollama.com/library/glm-4.7-flash:q4_K_M"/>
    <hyperlink ref="B11" r:id="rId9" display="https://huggingface.co/unsloth/Llama-3.3-70B-Instruct-GGUF"/>
    <hyperlink ref="B12" r:id="rId10" display="https://huggingface.co/bartowski/gemma-2-9b-it-GGUF"/>
    <hyperlink ref="B13" r:id="rId11" display="https://huggingface.co/RichardErkhov/BSC-LT_-_salamandra-7b-instruct-gguf"/>
    <hyperlink ref="B14" r:id="rId12" display="https://ollama.com/mirage335/Mistral-Small-3_2-24B-Instruct-2506-virtuoso"/>
    <hyperlink ref="B15" r:id="rId13" display="https://ollama.com/library/gemma4:31b"/>
    <hyperlink ref="B16" r:id="rId14" display="https://huggingface.co/born2bewild/Qwen3.8-27B-W4A16-AutoRound-fast"/>
    <hyperlink ref="B17" r:id="rId15" display="https://huggingface.co/ariel-ml/SambaLingo-Hungarian-Chat-GGUF"/>
    <hyperlink ref="B18" r:id="rId16" display="https://huggingface.co/RedHatAI/gemma-4-26B-A4B-it-FP8-dynamic"/>
    <hyperlink ref="B19" r:id="rId17" display="https://huggingface.co/fragata/PULI-LlumiX-32K-Instruct-Q4_K_M-GGUF"/>
    <hyperlink ref="B20" r:id="rId18" display="https://ollama.com/library/ministral-3:14b"/>
    <hyperlink ref="B21" r:id="rId19" display="https://huggingface.co/TheBloke/Mixtral-8x7B-Instruct-v0.1-GGUF"/>
    <hyperlink ref="B22" r:id="rId20" display="https://huggingface.co/lovedheart/Qwen3.5-4B-FP8"/>
    <hyperlink ref="B23" r:id="rId21" display="https://huggingface.co/matteogeniaccio/phi-4"/>
  </hyperlink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22"/>
  <legacyDrawing r:id="rId2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9411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2024-10-13T20:35:13Z</dcterms:created>
  <dc:creator/>
  <dc:description/>
  <dc:language>en-US</dc:language>
  <cp:lastModifiedBy/>
  <dcterms:modified xsi:type="dcterms:W3CDTF">2026-10-08T17:35:13Z</dcterms:modified>
  <cp:revision>136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